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7faa479b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日任务" sheetId="1" r:id="R734ce86c8e424e61"/>
    <x:sheet xmlns:r="http://schemas.openxmlformats.org/officeDocument/2006/relationships" name="阶段计划" sheetId="2" r:id="R0f9a53c43a8c4bad"/>
    <x:sheet xmlns:r="http://schemas.openxmlformats.org/officeDocument/2006/relationships" name="任务总表" sheetId="3" r:id="Rf32144aa54fd4408"/>
    <x:sheet xmlns:r="http://schemas.openxmlformats.org/officeDocument/2006/relationships" name="必懂清单" sheetId="4" r:id="R853e30c1d48143b6"/>
    <x:sheet xmlns:r="http://schemas.openxmlformats.org/officeDocument/2006/relationships" name="实验记录" sheetId="5" r:id="Rc65bb86faba8475e"/>
    <x:sheet xmlns:r="http://schemas.openxmlformats.org/officeDocument/2006/relationships" name="项目规格与资料" sheetId="6" r:id="R7af3e9ae8b2f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%"/>
    <x:numFmt numFmtId="203" formatCode="0.0"/>
  </x:numFmts>
  <x:fonts count="6">
    <x:font>
      <x:sz val="11"/>
      <x:name val="Carlito"/>
    </x:font>
    <x:font>
      <x:sz val="11"/>
      <x:color rgb="FF243746"/>
      <x:name val="Arial"/>
    </x:font>
    <x:font>
      <x:b/>
      <x:sz val="16"/>
      <x:color rgb="FF183B56"/>
      <x:name val="Arial"/>
    </x:font>
    <x:font>
      <x:b/>
      <x:sz val="11"/>
      <x:color rgb="FFFFFFFF"/>
      <x:name val="Arial"/>
    </x:font>
    <x:font>
      <x:sz val="11"/>
      <x:color rgb="FF76530D"/>
      <x:name val="Arial"/>
    </x:font>
    <x:font>
      <x:b/>
      <x:sz val="11"/>
      <x:color rgb="FF24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3F6F9"/>
      </x:patternFill>
    </x:fill>
    <x:fill>
      <x:patternFill patternType="solid">
        <x:fgColor rgb="FFFFF1CC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285D3D"/>
      </x:font>
      <x:fill>
        <x:patternFill patternType="solid">
          <x:bgColor rgb="FFE5F1E9"/>
        </x:patternFill>
      </x:fill>
    </x:dxf>
    <x:dxf>
      <x:font>
        <x:color rgb="FF9D2920"/>
      </x:font>
      <x:fill>
        <x:patternFill patternType="solid">
          <x:bgColor rgb="FFFCE7E5"/>
        </x:patternFill>
      </x:fill>
    </x:dxf>
    <x:dxf>
      <x:font>
        <x:color rgb="FF9D2920"/>
      </x:font>
      <x:fill>
        <x:patternFill patternType="solid">
          <x:bgColor rgb="FFFCE7E5"/>
        </x:patternFill>
      </x:fill>
    </x:dxf>
    <x:dxf>
      <x:font>
        <x:color rgb="FF285D3D"/>
      </x:font>
      <x:fill>
        <x:patternFill patternType="solid">
          <x:bgColor rgb="FFE5F1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d2fc413594911" /><Relationship Type="http://schemas.openxmlformats.org/officeDocument/2006/relationships/theme" Target="/xl/theme/theme1.xml" Id="R825c1232812a4c3a" /><Relationship Type="http://schemas.openxmlformats.org/officeDocument/2006/relationships/sharedStrings" Target="/xl/sharedStrings.xml" Id="Rf4dbc3637c2b4055" /><Relationship Type="http://schemas.openxmlformats.org/officeDocument/2006/relationships/worksheet" Target="/xl/worksheets/sheet1.xml" Id="R734ce86c8e424e61" /><Relationship Type="http://schemas.openxmlformats.org/officeDocument/2006/relationships/worksheet" Target="/xl/worksheets/sheet2.xml" Id="R0f9a53c43a8c4bad" /><Relationship Type="http://schemas.openxmlformats.org/officeDocument/2006/relationships/worksheet" Target="/xl/worksheets/sheet3.xml" Id="Rf32144aa54fd4408" /><Relationship Type="http://schemas.openxmlformats.org/officeDocument/2006/relationships/worksheet" Target="/xl/worksheets/sheet4.xml" Id="R853e30c1d48143b6" /><Relationship Type="http://schemas.openxmlformats.org/officeDocument/2006/relationships/worksheet" Target="/xl/worksheets/sheet5.xml" Id="Rc65bb86faba8475e" /><Relationship Type="http://schemas.openxmlformats.org/officeDocument/2006/relationships/worksheet" Target="/xl/worksheets/sheet6.xml" Id="R7af3e9ae8b2f4cff" /></Relationships>
</file>

<file path=xl/tables/table1.xml><?xml version="1.0" encoding="utf-8"?>
<x:table xmlns:x="http://schemas.openxmlformats.org/spreadsheetml/2006/main" id="2" name="LearningStages" displayName="LearningStages" ref="B6:J18" headerRowCount="1" totalsRowCount="0" totalsRowShown="0">
  <x:tableColumns count="9">
    <x:tableColumn id="1" name="阶段"/>
    <x:tableColumn id="2" name="学习范围"/>
    <x:tableColumn id="3" name="任务数"/>
    <x:tableColumn id="4" name="通过数"/>
    <x:tableColumn id="5" name="进度"/>
    <x:tableColumn id="6" name="起步小时"/>
    <x:tableColumn id="7" name="预算学习周"/>
    <x:tableColumn id="8" name="阶段放行条件"/>
    <x:tableColumn id="9" name="判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earningTasks" displayName="LearningTasks" ref="A6:V82" headerRowCount="1" totalsRowCount="0" totalsRowShown="0">
  <x:tableColumns count="22">
    <x:tableColumn id="1" name="序号"/>
    <x:tableColumn id="2" name="任务ID"/>
    <x:tableColumn id="3" name="阶段"/>
    <x:tableColumn id="4" name="唯一问题"/>
    <x:tableColumn id="5" name="必须知道"/>
    <x:tableColumn id="6" name="具体操作"/>
    <x:tableColumn id="7" name="交付与通过条件"/>
    <x:tableColumn id="8" name="变式或反例"/>
    <x:tableColumn id="9" name="起步分钟"/>
    <x:tableColumn id="10" name="前置ID"/>
    <x:tableColumn id="11" name="证据目标"/>
    <x:tableColumn id="12" name="资料入口"/>
    <x:tableColumn id="13" name="状态"/>
    <x:tableColumn id="14" name="实际分钟"/>
    <x:tableColumn id="15" name="证据位置"/>
    <x:tableColumn id="16" name="闭卷复述"/>
    <x:tableColumn id="17" name="变式核验"/>
    <x:tableColumn id="18" name="实际证据"/>
    <x:tableColumn id="19" name="结论或卡点"/>
    <x:tableColumn id="20" name="完成日期"/>
    <x:tableColumn id="21" name="任务判定"/>
    <x:tableColumn id="22" name="证据匹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ustKnow" displayName="MustKnow" ref="B5:H32" headerRowCount="1" totalsRowCount="0" totalsRowShown="0">
  <x:tableColumns count="7">
    <x:tableColumn id="1" name="阶段"/>
    <x:tableColumn id="2" name="知识主题"/>
    <x:tableColumn id="3" name="必须能回答的项目问题"/>
    <x:tableColumn id="4" name="最低掌握标准"/>
    <x:tableColumn id="5" name="对应任务"/>
    <x:tableColumn id="6" name="检查方式"/>
    <x:tableColumn id="7" name="你的解释或缺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udyRecords" displayName="StudyRecords" ref="B5:M35" headerRowCount="1" totalsRowCount="0" totalsRowShown="0">
  <x:tableColumns count="12">
    <x:tableColumn id="1" name="日期"/>
    <x:tableColumn id="2" name="任务ID"/>
    <x:tableColumn id="3" name="版本与工况"/>
    <x:tableColumn id="4" name="我的预测或缺口"/>
    <x:tableColumn id="5" name="实际操作"/>
    <x:tableColumn id="6" name="观察结果与证据位置"/>
    <x:tableColumn id="7" name="差异与原因"/>
    <x:tableColumn id="8" name="结论及适用范围"/>
    <x:tableColumn id="9" name="证据等级"/>
    <x:tableColumn id="10" name="下一步25分钟"/>
    <x:tableColumn id="11" name="实际分钟"/>
    <x:tableColumn id="12" name="一个仍未知的问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15ae9c2d684a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5b3fdfba8d44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1ac61d9cc04b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eb74f634394227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3" hidden="0" customWidth="1"/>
    <x:col min="2" max="2" width="23" hidden="0" customWidth="1"/>
    <x:col min="3" max="3" width="78" hidden="0" customWidth="1"/>
    <x:col min="4" max="4" width="3" hidden="0" customWidth="1"/>
    <x:col min="5" max="5" width="25" hidden="0" customWidth="1"/>
    <x:col min="6" max="6" width="24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2"/>
      <x:c r="B2" s="3" t="str">
        <x:v>半桥LLC与同步整流学习计划</x:v>
      </x:c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 t="str">
        <x:v>通过任务</x:v>
      </x:c>
      <x:c r="C4" s="2" t="str">
        <x:f>COUNTIFS('任务总表'!$U$7:$U$82,"通过")&amp;" / "&amp;COUNTA('任务总表'!$B$7:$B$82)</x:f>
        <x:v>0 / 76</x:v>
      </x:c>
      <x:c r="D4" s="2"/>
      <x:c r="E4" s="2" t="str">
        <x:v>版本日期</x:v>
      </x:c>
      <x:c r="F4" s="25" t="d">
        <x:v>2026-10-09T00:00:00.000Z</x:v>
      </x:c>
    </x:row>
    <x:row r="5" ht="44" customHeight="1">
      <x:c r="A5" s="2"/>
      <x:c r="B5" s="2" t="str">
        <x:v>资源起点</x:v>
      </x:c>
      <x:c r="C5" s="8" t="str">
        <x:v>你已能独立运行开环模型并查看波形；DLL已完成（用户陈述）。</x:v>
      </x:c>
      <x:c r="D5" s="2"/>
      <x:c r="E5" s="2" t="str">
        <x:v>每周学习预算（分钟）</x:v>
      </x:c>
      <x:c r="F5" s="13" t="n">
        <x:v>120</x:v>
      </x:c>
    </x:row>
    <x:row r="6" ht="44" customHeight="1">
      <x:c r="A6" s="2"/>
      <x:c r="B6" s="2" t="str">
        <x:v>执行规则</x:v>
      </x:c>
      <x:c r="C6" s="8" t="str">
        <x:v>已会内容用复述和变式快速核验，工具安装不重复安排。</x:v>
      </x:c>
      <x:c r="D6" s="2"/>
      <x:c r="E6" s="2" t="str">
        <x:v>单次学习（分钟）</x:v>
      </x:c>
      <x:c r="F6" s="13" t="n">
        <x:v>25</x:v>
      </x:c>
    </x:row>
    <x:row r="7">
      <x:c r="A7" s="2"/>
      <x:c r="B7" s="2" t="str">
        <x:v>自动建议任务</x:v>
      </x:c>
      <x:c r="C7" s="2" t="str">
        <x:f>IF(COUNTIFS('任务总表'!$U$7:$U$82,"通过")=COUNTA('任务总表'!$B$7:$B$82),"全部任务通过",INDEX('任务总表'!$B$7:$B$82,COUNTIFS('任务总表'!$U$7:$U$82,"通过")+1))</x:f>
        <x:v>S01-01</x:v>
      </x:c>
      <x:c r="D7" s="2"/>
      <x:c r="E7" s="2" t="str">
        <x:v>手选任务ID（空为自动）</x:v>
      </x:c>
      <x:c r="F7" s="13" t="str"/>
    </x:row>
    <x:row r="8">
      <x:c r="A8" s="2"/>
      <x:c r="B8" s="2"/>
      <x:c r="C8" s="2"/>
      <x:c r="D8" s="2"/>
      <x:c r="E8" s="2"/>
      <x:c r="F8" s="2"/>
    </x:row>
    <x:row r="9">
      <x:c r="A9" s="2"/>
      <x:c r="B9" s="2" t="str">
        <x:v>本次任务ID</x:v>
      </x:c>
      <x:c r="C9" s="2" t="str">
        <x:f>IF(F7="",C7,F7)</x:f>
        <x:v>S01-01</x:v>
      </x:c>
      <x:c r="D9" s="2"/>
      <x:c r="E9" s="2" t="str">
        <x:v>任务总数</x:v>
      </x:c>
      <x:c r="F9" s="2" t="n">
        <x:v>76</x:v>
      </x:c>
    </x:row>
    <x:row r="10" ht="30" customHeight="1">
      <x:c r="A10" s="2"/>
      <x:c r="B10" s="27" t="str">
        <x:v>阶段</x:v>
      </x:c>
      <x:c r="C10" s="10" t="str">
        <x:f>IF($C$9="全部任务通过","",INDEX('任务总表'!$C$7:$C$82,MATCH($C$9,'任务总表'!$B$7:$B$82,0)))</x:f>
        <x:v>S01</x:v>
      </x:c>
      <x:c r="D10" s="2"/>
      <x:c r="E10" s="2" t="str">
        <x:v>起步总小时</x:v>
      </x:c>
      <x:c r="F10" s="30" t="n">
        <x:f>SUM('任务总表'!$I$7:$I$82)/60</x:f>
        <x:v>70.83333333333333</x:v>
      </x:c>
    </x:row>
    <x:row r="11" ht="32" customHeight="1">
      <x:c r="A11" s="2"/>
      <x:c r="B11" s="28" t="str">
        <x:v>唯一问题</x:v>
      </x:c>
      <x:c r="C11" s="29" t="str">
        <x:f>IF($C$9="全部任务通过","",INDEX('任务总表'!$D$7:$D$82,MATCH($C$9,'任务总表'!$B$7:$B$82,0)))</x:f>
        <x:v>确认资料与版本</x:v>
      </x:c>
      <x:c r="D11" s="2"/>
      <x:c r="E11" s="2" t="str">
        <x:v>按预算折算学习周</x:v>
      </x:c>
      <x:c r="F11" s="30" t="n">
        <x:f>IF(F5&gt;0,F10*60/F5,"请填预算")</x:f>
        <x:v>35.416666666666664</x:v>
      </x:c>
    </x:row>
    <x:row r="12" ht="42" customHeight="1">
      <x:c r="A12" s="2"/>
      <x:c r="B12" s="27" t="str">
        <x:v>必须知道</x:v>
      </x:c>
      <x:c r="C12" s="10" t="str">
        <x:f>IF($C$9="全部任务通过","",INDEX('任务总表'!$E$7:$E$82,MATCH($C$9,'任务总表'!$B$7:$B$82,0)))</x:f>
        <x:v>代码、DLL、模型和原理图是不同版本对象</x:v>
      </x:c>
      <x:c r="D12" s="2"/>
      <x:c r="E12" s="2"/>
      <x:c r="F12" s="2"/>
    </x:row>
    <x:row r="13" ht="48" customHeight="1">
      <x:c r="A13" s="2"/>
      <x:c r="B13" s="28" t="str">
        <x:v>具体操作</x:v>
      </x:c>
      <x:c r="C13" s="29" t="str">
        <x:f>IF($C$9="全部任务通过","",INDEX('任务总表'!$F$7:$F$82,MATCH($C$9,'任务总表'!$B$7:$B$82,0)))</x:f>
        <x:v>列出正在用的四个文件/版本；选一个学习副本；不比较全部历史文件。</x:v>
      </x:c>
      <x:c r="D13" s="2"/>
      <x:c r="E13" s="8" t="str">
        <x:v>范围</x:v>
      </x:c>
      <x:c r="F13" s="8" t="str">
        <x:v>起步量，不是工期</x:v>
      </x:c>
    </x:row>
    <x:row r="14" ht="48" customHeight="1">
      <x:c r="A14" s="2"/>
      <x:c r="B14" s="27" t="str">
        <x:v>交付与通过条件</x:v>
      </x:c>
      <x:c r="C14" s="10" t="str">
        <x:f>IF($C$9="全部任务通过","",INDEX('任务总表'!$G$7:$G$82,MATCH($C$9,'任务总表'!$B$7:$B$82,0)))</x:f>
        <x:v>一张版本对应表；不确定的匹配明确标未知。</x:v>
      </x:c>
      <x:c r="D14" s="2"/>
      <x:c r="E14" s="8" t="str">
        <x:v>台架/补课/返工</x:v>
      </x:c>
      <x:c r="F14" s="8" t="str">
        <x:v>另计</x:v>
      </x:c>
    </x:row>
    <x:row r="15" ht="48" customHeight="1">
      <x:c r="A15" s="2"/>
      <x:c r="B15" s="28" t="str">
        <x:v>变式或反例</x:v>
      </x:c>
      <x:c r="C15" s="29" t="str">
        <x:f>IF($C$9="全部任务通过","",INDEX('任务总表'!$H$7:$H$82,MATCH($C$9,'任务总表'!$B$7:$B$82,0)))</x:f>
        <x:v>换一个模型文件，能指出哪个接口/参数需重核。</x:v>
      </x:c>
      <x:c r="D15" s="2"/>
      <x:c r="E15" s="8" t="str">
        <x:v>起点能力</x:v>
      </x:c>
      <x:c r="F15" s="8" t="str">
        <x:v>记录为已知，不代替任务证据</x:v>
      </x:c>
    </x:row>
    <x:row r="16" ht="30" customHeight="1">
      <x:c r="A16" s="2"/>
      <x:c r="B16" s="27" t="str">
        <x:v>起步用时（分钟）</x:v>
      </x:c>
      <x:c r="C16" s="10" t="n">
        <x:f>IF($C$9="全部任务通过","",INDEX('任务总表'!$I$7:$I$82,MATCH($C$9,'任务总表'!$B$7:$B$82,0)))</x:f>
        <x:v>15</x:v>
      </x:c>
      <x:c r="D16" s="2"/>
      <x:c r="E16" s="2"/>
      <x:c r="F16" s="2"/>
    </x:row>
    <x:row r="17" ht="42" customHeight="1">
      <x:c r="A17" s="2"/>
      <x:c r="B17" s="28" t="str">
        <x:v>前置任务</x:v>
      </x:c>
      <x:c r="C17" s="29" t="str">
        <x:f>IF($C$9="全部任务通过","",IF(INDEX('任务总表'!$J$7:$J$82,MATCH($C$9,'任务总表'!$B$7:$B$82,0))="","无",INDEX('任务总表'!$J$7:$J$82,MATCH($C$9,'任务总表'!$B$7:$B$82,0))))</x:f>
        <x:v>无</x:v>
      </x:c>
      <x:c r="D17" s="2"/>
      <x:c r="E17" s="8" t="str">
        <x:v>填写位置</x:v>
      </x:c>
      <x:c r="F17" s="8" t="str">
        <x:v>任务总表 M:T</x:v>
      </x:c>
    </x:row>
    <x:row r="18" ht="42" customHeight="1">
      <x:c r="A18" s="2"/>
      <x:c r="B18" s="27" t="str">
        <x:v>证据目标</x:v>
      </x:c>
      <x:c r="C18" s="10" t="str">
        <x:f>IF($C$9="全部任务通过","",INDEX('任务总表'!$K$7:$K$82,MATCH($C$9,'任务总表'!$B$7:$B$82,0)))</x:f>
        <x:v>A</x:v>
      </x:c>
      <x:c r="D18" s="2"/>
      <x:c r="E18" s="8" t="str">
        <x:v>黄色</x:v>
      </x:c>
      <x:c r="F18" s="8" t="str">
        <x:v>可编辑输入</x:v>
      </x:c>
    </x:row>
    <x:row r="19" ht="42" customHeight="1">
      <x:c r="A19" s="2"/>
      <x:c r="B19" s="28" t="str">
        <x:v>资料入口</x:v>
      </x:c>
      <x:c r="C19" s="29" t="str">
        <x:f>IF($C$9="全部任务通过","",INDEX('任务总表'!$L$7:$L$82,MATCH($C$9,'任务总表'!$B$7:$B$82,0)))</x:f>
        <x:v>R01；R03</x:v>
      </x:c>
      <x:c r="D19" s="2"/>
      <x:c r="E19" s="8" t="str">
        <x:v>A/B证据</x:v>
      </x:c>
      <x:c r="F19" s="8" t="str">
        <x:v>离线追踪/计算/模型</x:v>
      </x:c>
    </x:row>
    <x:row r="20" ht="42" customHeight="1">
      <x:c r="A20" s="2"/>
      <x:c r="B20" s="27" t="str">
        <x:v>当前状态</x:v>
      </x:c>
      <x:c r="C20" s="10" t="str">
        <x:f>IF($C$9="全部任务通过","",INDEX('任务总表'!$M$7:$M$82,MATCH($C$9,'任务总表'!$B$7:$B$82,0)))</x:f>
        <x:v>未开始</x:v>
      </x:c>
      <x:c r="D20" s="2"/>
      <x:c r="E20" s="8" t="str">
        <x:v>C/D/E证据</x:v>
      </x:c>
      <x:c r="F20" s="8" t="str">
        <x:v>逻辑/功率/真实交付</x:v>
      </x:c>
    </x:row>
    <x:row r="21" ht="30" customHeight="1">
      <x:c r="A21" s="2"/>
      <x:c r="B21" s="28" t="str">
        <x:v>任务判定</x:v>
      </x:c>
      <x:c r="C21" s="29" t="str">
        <x:f>IF($C$9="全部任务通过","",INDEX('任务总表'!$U$7:$U$82,MATCH($C$9,'任务总表'!$B$7:$B$82,0)))</x:f>
        <x:v>未通过</x:v>
      </x:c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 ht="44" customHeight="1">
      <x:c r="A23" s="2"/>
      <x:c r="B23" s="8" t="str">
        <x:v>每天的顺序</x:v>
      </x:c>
      <x:c r="C23" s="8" t="str">
        <x:v>先预测5分钟，定点取证5分钟，操作12分钟，记录3分钟；做不完留下一步。</x:v>
      </x:c>
      <x:c r="D23" s="2"/>
      <x:c r="E23" s="2"/>
      <x:c r="F23" s="2"/>
    </x:row>
    <x:row r="24" ht="44" customHeight="1">
      <x:c r="A24" s="2"/>
      <x:c r="B24" s="8" t="str">
        <x:v>更新进度</x:v>
      </x:c>
      <x:c r="C24" s="8" t="str">
        <x:v>在任务总表黄色M:T列填状态、证据、复述、变式等；任务判定和建议任务自动更新。</x:v>
      </x:c>
      <x:c r="D24" s="2"/>
      <x:c r="E24" s="2"/>
      <x:c r="F24" s="2"/>
    </x:row>
    <x:row r="25" ht="44" customHeight="1">
      <x:c r="A25" s="2"/>
      <x:c r="B25" s="8" t="str">
        <x:v>缺设备时</x:v>
      </x:c>
      <x:c r="C25" s="8" t="str">
        <x:v>继续完成前面的离线任务；C/D/E任务记录资源缺口，不把模型证据升级成实机。</x:v>
      </x:c>
      <x:c r="D25" s="2"/>
      <x:c r="E25" s="2"/>
      <x:c r="F25" s="2"/>
    </x:row>
    <x:row r="26" ht="44" customHeight="1">
      <x:c r="A26" s="2"/>
      <x:c r="B26" s="8" t="str">
        <x:v>不要一次读全表</x:v>
      </x:c>
      <x:c r="C26" s="8" t="str">
        <x:v>今天只做本次任务；未来工况在对应阶段再展开。首次版本/规格确认可用现有资料快速完成。</x:v>
      </x:c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 ht="70" customHeight="1">
      <x:c r="A28" s="2"/>
      <x:c r="B28" s="8" t="str">
        <x:v>给AI的限定提问</x:v>
      </x:c>
      <x:c r="C28" s="8" t="str">
        <x:v>我正在做任务__，工况__，自己的判断/缺口__，实际结果__。请只纠正一处并给一个变式，等我回答再继续。</x:v>
      </x:c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</x:sheetData>
  <x:dataValidations count="3">
    <x:dataValidation type="whole" operator="between" sqref="F5">
      <x:formula1>25</x:formula1>
      <x:formula2>10080</x:formula2>
    </x:dataValidation>
    <x:dataValidation type="whole" operator="between" sqref="F6">
      <x:formula1>5</x:formula1>
      <x:formula2>120</x:formula2>
    </x:dataValidation>
    <x:dataValidation type="list" sqref="F7">
      <x:formula1>'任务总表'!$B$7:$B$82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708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9" hidden="0" customWidth="1"/>
    <x:col min="3" max="3" width="31" hidden="0" customWidth="1"/>
    <x:col min="4" max="4" width="10" hidden="0" customWidth="1"/>
    <x:col min="5" max="5" width="10" hidden="0" customWidth="1"/>
    <x:col min="6" max="6" width="12" hidden="0" customWidth="1"/>
    <x:col min="7" max="7" width="13" hidden="0" customWidth="1"/>
    <x:col min="8" max="8" width="15" hidden="0" customWidth="1"/>
    <x:col min="9" max="9" width="64" hidden="0" customWidth="1"/>
    <x:col min="10" max="1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3" t="str">
        <x:v>阶段顺序与放行条件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 t="str">
        <x:v>先核验已有能力。每阶段通过后再进入下一阶段；可预习，但不跳过证据。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 t="str">
        <x:v>离线任务先推进。C/D/E阶段需对应设备、台架与真实职责，资源不足标受阻，不用仿真替代。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2"/>
      <x:c r="B6" s="7" t="str">
        <x:v>阶段</x:v>
      </x:c>
      <x:c r="C6" s="7" t="str">
        <x:v>学习范围</x:v>
      </x:c>
      <x:c r="D6" s="7" t="str">
        <x:v>任务数</x:v>
      </x:c>
      <x:c r="E6" s="7" t="str">
        <x:v>通过数</x:v>
      </x:c>
      <x:c r="F6" s="7" t="str">
        <x:v>进度</x:v>
      </x:c>
      <x:c r="G6" s="7" t="str">
        <x:v>起步小时</x:v>
      </x:c>
      <x:c r="H6" s="7" t="str">
        <x:v>预算学习周</x:v>
      </x:c>
      <x:c r="I6" s="7" t="str">
        <x:v>阶段放行条件</x:v>
      </x:c>
      <x:c r="J6" s="7" t="str">
        <x:v>判定</x:v>
      </x:c>
    </x:row>
    <x:row r="7" ht="64" customHeight="1">
      <x:c r="A7" s="2"/>
      <x:c r="B7" s="8" t="str">
        <x:v>S01</x:v>
      </x:c>
      <x:c r="C7" s="8" t="str">
        <x:v>项目共识与基线</x:v>
      </x:c>
      <x:c r="D7" s="8" t="n">
        <x:f>COUNTIFS('任务总表'!$C$7:$C$82,B7)</x:f>
        <x:v>6</x:v>
      </x:c>
      <x:c r="E7" s="8" t="n">
        <x:f>COUNTIFS('任务总表'!$C$7:$C$82,B7,'任务总表'!$U$7:$U$82,"通过")</x:f>
        <x:v>0</x:v>
      </x:c>
      <x:c r="F7" s="19" t="n">
        <x:f>IF(D7=0,"",E7/D7)</x:f>
        <x:v>0</x:v>
      </x:c>
      <x:c r="G7" s="21" t="n">
        <x:f>SUMIFS('任务总表'!$I$7:$I$82,'任务总表'!$C$7:$C$82,B7)/60</x:f>
        <x:v>2.1666666666666665</x:v>
      </x:c>
      <x:c r="H7" s="21" t="n">
        <x:f>IF('今日任务'!$F$5&gt;0,G7*60/'今日任务'!$F$5,"请填预算")</x:f>
        <x:v>1.0833333333333333</x:v>
      </x:c>
      <x:c r="I7" s="8" t="str">
        <x:v>能说清系统边界、模型负载和已知/未知规格；可复跑同一工作点。</x:v>
      </x:c>
      <x:c r="J7" s="8" t="str">
        <x:f>IF(E7=D7,"阶段通过","继续当前任务")</x:f>
        <x:v>继续当前任务</x:v>
      </x:c>
    </x:row>
    <x:row r="8" ht="64" customHeight="1">
      <x:c r="A8" s="2"/>
      <x:c r="B8" s="10" t="str">
        <x:v>S02</x:v>
      </x:c>
      <x:c r="C8" s="10" t="str">
        <x:v>必要电路与数学基础</x:v>
      </x:c>
      <x:c r="D8" s="10" t="n">
        <x:f>COUNTIFS('任务总表'!$C$7:$C$82,B8)</x:f>
        <x:v>6</x:v>
      </x:c>
      <x:c r="E8" s="10" t="n">
        <x:f>COUNTIFS('任务总表'!$C$7:$C$82,B8,'任务总表'!$U$7:$U$82,"通过")</x:f>
        <x:v>0</x:v>
      </x:c>
      <x:c r="F8" s="20" t="n">
        <x:f>IF(D8=0,"",E8/D8)</x:f>
        <x:v>0</x:v>
      </x:c>
      <x:c r="G8" s="22" t="n">
        <x:f>SUMIFS('任务总表'!$I$7:$I$82,'任务总表'!$C$7:$C$82,B8)/60</x:f>
        <x:v>3.3333333333333335</x:v>
      </x:c>
      <x:c r="H8" s="22" t="n">
        <x:f>IF('今日任务'!$F$5&gt;0,G8*60/'今日任务'!$F$5,"请填预算")</x:f>
        <x:v>1.6666666666666667</x:v>
      </x:c>
      <x:c r="I8" s="10" t="str">
        <x:v>带单位独立计算斜率、能量、周期和变比；说清初值与适用条件。</x:v>
      </x:c>
      <x:c r="J8" s="10" t="str">
        <x:f>IF(E8=D8,"阶段通过","继续当前任务")</x:f>
        <x:v>继续当前任务</x:v>
      </x:c>
    </x:row>
    <x:row r="9" ht="64" customHeight="1">
      <x:c r="A9" s="2"/>
      <x:c r="B9" s="8" t="str">
        <x:v>S03</x:v>
      </x:c>
      <x:c r="C9" s="8" t="str">
        <x:v>半桥驱动与原边时序</x:v>
      </x:c>
      <x:c r="D9" s="8" t="n">
        <x:f>COUNTIFS('任务总表'!$C$7:$C$82,B9)</x:f>
        <x:v>6</x:v>
      </x:c>
      <x:c r="E9" s="8" t="n">
        <x:f>COUNTIFS('任务总表'!$C$7:$C$82,B9,'任务总表'!$U$7:$U$82,"通过")</x:f>
        <x:v>0</x:v>
      </x:c>
      <x:c r="F9" s="19" t="n">
        <x:f>IF(D9=0,"",E9/D9)</x:f>
        <x:v>0</x:v>
      </x:c>
      <x:c r="G9" s="21" t="n">
        <x:f>SUMIFS('任务总表'!$I$7:$I$82,'任务总表'!$C$7:$C$82,B9)/60</x:f>
        <x:v>3.75</x:v>
      </x:c>
      <x:c r="H9" s="21" t="n">
        <x:f>IF('今日任务'!$F$5&gt;0,G9*60/'今日任务'!$F$5,"请填预算")</x:f>
        <x:v>1.875</x:v>
      </x:c>
      <x:c r="I9" s="8" t="str">
        <x:v>能从模式、频率、Duty和许可推导门极窗口，并核对代码/模型差异。</x:v>
      </x:c>
      <x:c r="J9" s="8" t="str">
        <x:f>IF(E9=D9,"阶段通过","继续当前任务")</x:f>
        <x:v>继续当前任务</x:v>
      </x:c>
    </x:row>
    <x:row r="10" ht="64" customHeight="1">
      <x:c r="A10" s="2"/>
      <x:c r="B10" s="10" t="str">
        <x:v>S04</x:v>
      </x:c>
      <x:c r="C10" s="10" t="str">
        <x:v>LLC功率对象与开环实验</x:v>
      </x:c>
      <x:c r="D10" s="10" t="n">
        <x:f>COUNTIFS('任务总表'!$C$7:$C$82,B10)</x:f>
        <x:v>7</x:v>
      </x:c>
      <x:c r="E10" s="10" t="n">
        <x:f>COUNTIFS('任务总表'!$C$7:$C$82,B10,'任务总表'!$U$7:$U$82,"通过")</x:f>
        <x:v>0</x:v>
      </x:c>
      <x:c r="F10" s="20" t="n">
        <x:f>IF(D10=0,"",E10/D10)</x:f>
        <x:v>0</x:v>
      </x:c>
      <x:c r="G10" s="22" t="n">
        <x:f>SUMIFS('任务总表'!$I$7:$I$82,'任务总表'!$C$7:$C$82,B10)/60</x:f>
        <x:v>6.25</x:v>
      </x:c>
      <x:c r="H10" s="22" t="n">
        <x:f>IF('今日任务'!$F$5&gt;0,G10*60/'今日任务'!$F$5,"请填预算")</x:f>
        <x:v>3.125</x:v>
      </x:c>
      <x:c r="I10" s="10" t="str">
        <x:v>能解释一个周期的传能和两个邻近工作点；知道静态模型与ZVS的边界。</x:v>
      </x:c>
      <x:c r="J10" s="10" t="str">
        <x:f>IF(E10=D10,"阶段通过","继续当前任务")</x:f>
        <x:v>继续当前任务</x:v>
      </x:c>
    </x:row>
    <x:row r="11" ht="64" customHeight="1">
      <x:c r="A11" s="2"/>
      <x:c r="B11" s="8" t="str">
        <x:v>S05</x:v>
      </x:c>
      <x:c r="C11" s="8" t="str">
        <x:v>采样链与实时执行</x:v>
      </x:c>
      <x:c r="D11" s="8" t="n">
        <x:f>COUNTIFS('任务总表'!$C$7:$C$82,B11)</x:f>
        <x:v>6</x:v>
      </x:c>
      <x:c r="E11" s="8" t="n">
        <x:f>COUNTIFS('任务总表'!$C$7:$C$82,B11,'任务总表'!$U$7:$U$82,"通过")</x:f>
        <x:v>0</x:v>
      </x:c>
      <x:c r="F11" s="19" t="n">
        <x:f>IF(D11=0,"",E11/D11)</x:f>
        <x:v>0</x:v>
      </x:c>
      <x:c r="G11" s="21" t="n">
        <x:f>SUMIFS('任务总表'!$I$7:$I$82,'任务总表'!$C$7:$C$82,B11)/60</x:f>
        <x:v>5</x:v>
      </x:c>
      <x:c r="H11" s="21" t="n">
        <x:f>IF('今日任务'!$F$5&gt;0,G11*60/'今日任务'!$F$5,"请填预算")</x:f>
        <x:v>2.5</x:v>
      </x:c>
      <x:c r="I11" s="8" t="str">
        <x:v>能追一条物理信号到控制输出的链，并给出单位、更新率和延迟依据。</x:v>
      </x:c>
      <x:c r="J11" s="8" t="str">
        <x:f>IF(E11=D11,"阶段通过","继续当前任务")</x:f>
        <x:v>继续当前任务</x:v>
      </x:c>
    </x:row>
    <x:row r="12" ht="64" customHeight="1">
      <x:c r="A12" s="2"/>
      <x:c r="B12" s="10" t="str">
        <x:v>S06</x:v>
      </x:c>
      <x:c r="C12" s="10" t="str">
        <x:v>同步整流原理与实现</x:v>
      </x:c>
      <x:c r="D12" s="10" t="n">
        <x:f>COUNTIFS('任务总表'!$C$7:$C$82,B12)</x:f>
        <x:v>7</x:v>
      </x:c>
      <x:c r="E12" s="10" t="n">
        <x:f>COUNTIFS('任务总表'!$C$7:$C$82,B12,'任务总表'!$U$7:$U$82,"通过")</x:f>
        <x:v>0</x:v>
      </x:c>
      <x:c r="F12" s="20" t="n">
        <x:f>IF(D12=0,"",E12/D12)</x:f>
        <x:v>0</x:v>
      </x:c>
      <x:c r="G12" s="22" t="n">
        <x:f>SUMIFS('任务总表'!$I$7:$I$82,'任务总表'!$C$7:$C$82,B12)/60</x:f>
        <x:v>6.666666666666667</x:v>
      </x:c>
      <x:c r="H12" s="22" t="n">
        <x:f>IF('今日任务'!$F$5&gt;0,G12*60/'今日任务'!$F$5,"请填预算")</x:f>
        <x:v>3.3333333333333335</x:v>
      </x:c>
      <x:c r="I12" s="10" t="str">
        <x:v>能把SR窗口放到实际副边电流上，解释许可、查表、延迟和反向风险。</x:v>
      </x:c>
      <x:c r="J12" s="10" t="str">
        <x:f>IF(E12=D12,"阶段通过","继续当前任务")</x:f>
        <x:v>继续当前任务</x:v>
      </x:c>
    </x:row>
    <x:row r="13" ht="64" customHeight="1">
      <x:c r="A13" s="2"/>
      <x:c r="B13" s="8" t="str">
        <x:v>S07</x:v>
      </x:c>
      <x:c r="C13" s="8" t="str">
        <x:v>控制器实现与局部动态</x:v>
      </x:c>
      <x:c r="D13" s="8" t="n">
        <x:f>COUNTIFS('任务总表'!$C$7:$C$82,B13)</x:f>
        <x:v>7</x:v>
      </x:c>
      <x:c r="E13" s="8" t="n">
        <x:f>COUNTIFS('任务总表'!$C$7:$C$82,B13,'任务总表'!$U$7:$U$82,"通过")</x:f>
        <x:v>0</x:v>
      </x:c>
      <x:c r="F13" s="19" t="n">
        <x:f>IF(D13=0,"",E13/D13)</x:f>
        <x:v>0</x:v>
      </x:c>
      <x:c r="G13" s="21" t="n">
        <x:f>SUMIFS('任务总表'!$I$7:$I$82,'任务总表'!$C$7:$C$82,B13)/60</x:f>
        <x:v>8.333333333333334</x:v>
      </x:c>
      <x:c r="H13" s="21" t="n">
        <x:f>IF('今日任务'!$F$5&gt;0,G13*60/'今日任务'!$F$5,"请填预算")</x:f>
        <x:v>4.166666666666667</x:v>
      </x:c>
      <x:c r="I13" s="8" t="str">
        <x:v>算法序列可复算；控制方向、周期、限幅和局部对象明确；设计依据与实现正确分开。</x:v>
      </x:c>
      <x:c r="J13" s="8" t="str">
        <x:f>IF(E13=D13,"阶段通过","继续当前任务")</x:f>
        <x:v>继续当前任务</x:v>
      </x:c>
    </x:row>
    <x:row r="14" ht="64" customHeight="1">
      <x:c r="A14" s="2"/>
      <x:c r="B14" s="10" t="str">
        <x:v>S08</x:v>
      </x:c>
      <x:c r="C14" s="10" t="str">
        <x:v>CC/CV与模式协同</x:v>
      </x:c>
      <x:c r="D14" s="10" t="n">
        <x:f>COUNTIFS('任务总表'!$C$7:$C$82,B14)</x:f>
        <x:v>6</x:v>
      </x:c>
      <x:c r="E14" s="10" t="n">
        <x:f>COUNTIFS('任务总表'!$C$7:$C$82,B14,'任务总表'!$U$7:$U$82,"通过")</x:f>
        <x:v>0</x:v>
      </x:c>
      <x:c r="F14" s="20" t="n">
        <x:f>IF(D14=0,"",E14/D14)</x:f>
        <x:v>0</x:v>
      </x:c>
      <x:c r="G14" s="22" t="n">
        <x:f>SUMIFS('任务总表'!$I$7:$I$82,'任务总表'!$C$7:$C$82,B14)/60</x:f>
        <x:v>6.25</x:v>
      </x:c>
      <x:c r="H14" s="22" t="n">
        <x:f>IF('今日任务'!$F$5&gt;0,G14*60/'今日任务'!$F$5,"请填预算")</x:f>
        <x:v>3.125</x:v>
      </x:c>
      <x:c r="I14" s="10" t="str">
        <x:v>能解释当前控制权、请求和反馈；交接时参考、PI、原边与SR分别可核验。</x:v>
      </x:c>
      <x:c r="J14" s="10" t="str">
        <x:f>IF(E14=D14,"阶段通过","继续当前任务")</x:f>
        <x:v>继续当前任务</x:v>
      </x:c>
    </x:row>
    <x:row r="15" ht="64" customHeight="1">
      <x:c r="A15" s="2"/>
      <x:c r="B15" s="8" t="str">
        <x:v>S09</x:v>
      </x:c>
      <x:c r="C15" s="8" t="str">
        <x:v>软启动、停机与重启</x:v>
      </x:c>
      <x:c r="D15" s="8" t="n">
        <x:f>COUNTIFS('任务总表'!$C$7:$C$82,B15)</x:f>
        <x:v>7</x:v>
      </x:c>
      <x:c r="E15" s="8" t="n">
        <x:f>COUNTIFS('任务总表'!$C$7:$C$82,B15,'任务总表'!$U$7:$U$82,"通过")</x:f>
        <x:v>0</x:v>
      </x:c>
      <x:c r="F15" s="19" t="n">
        <x:f>IF(D15=0,"",E15/D15)</x:f>
        <x:v>0</x:v>
      </x:c>
      <x:c r="G15" s="21" t="n">
        <x:f>SUMIFS('任务总表'!$I$7:$I$82,'任务总表'!$C$7:$C$82,B15)/60</x:f>
        <x:v>7.5</x:v>
      </x:c>
      <x:c r="H15" s="21" t="n">
        <x:f>IF('今日任务'!$F$5&gt;0,G15*60/'今日任务'!$F$5,"请填预算")</x:f>
        <x:v>3.75</x:v>
      </x:c>
      <x:c r="I15" s="8" t="str">
        <x:v>区分四种预充；状态有完成/超时/失败出口；覆盖长停波和残余状态。</x:v>
      </x:c>
      <x:c r="J15" s="8" t="str">
        <x:f>IF(E15=D15,"阶段通过","继续当前任务")</x:f>
        <x:v>继续当前任务</x:v>
      </x:c>
    </x:row>
    <x:row r="16" ht="64" customHeight="1">
      <x:c r="A16" s="2"/>
      <x:c r="B16" s="10" t="str">
        <x:v>S10</x:v>
      </x:c>
      <x:c r="C16" s="10" t="str">
        <x:v>故障链与异常验证</x:v>
      </x:c>
      <x:c r="D16" s="10" t="n">
        <x:f>COUNTIFS('任务总表'!$C$7:$C$82,B16)</x:f>
        <x:v>6</x:v>
      </x:c>
      <x:c r="E16" s="10" t="n">
        <x:f>COUNTIFS('任务总表'!$C$7:$C$82,B16,'任务总表'!$U$7:$U$82,"通过")</x:f>
        <x:v>0</x:v>
      </x:c>
      <x:c r="F16" s="20" t="n">
        <x:f>IF(D16=0,"",E16/D16)</x:f>
        <x:v>0</x:v>
      </x:c>
      <x:c r="G16" s="22" t="n">
        <x:f>SUMIFS('任务总表'!$I$7:$I$82,'任务总表'!$C$7:$C$82,B16)/60</x:f>
        <x:v>5.833333333333333</x:v>
      </x:c>
      <x:c r="H16" s="22" t="n">
        <x:f>IF('今日任务'!$F$5&gt;0,G16*60/'今日任务'!$F$5,"请填预算")</x:f>
        <x:v>2.9166666666666665</x:v>
      </x:c>
      <x:c r="I16" s="10" t="str">
        <x:v>每个选定故障都有检测源、延迟、动作、锁存和恢复；模型与硬件证据分开。</x:v>
      </x:c>
      <x:c r="J16" s="10" t="str">
        <x:f>IF(E16=D16,"阶段通过","继续当前任务")</x:f>
        <x:v>继续当前任务</x:v>
      </x:c>
    </x:row>
    <x:row r="17" ht="64" customHeight="1">
      <x:c r="A17" s="2"/>
      <x:c r="B17" s="8" t="str">
        <x:v>S11</x:v>
      </x:c>
      <x:c r="C17" s="8" t="str">
        <x:v>PFC与充电机接口</x:v>
      </x:c>
      <x:c r="D17" s="8" t="n">
        <x:f>COUNTIFS('任务总表'!$C$7:$C$82,B17)</x:f>
        <x:v>6</x:v>
      </x:c>
      <x:c r="E17" s="8" t="n">
        <x:f>COUNTIFS('任务总表'!$C$7:$C$82,B17,'任务总表'!$U$7:$U$82,"通过")</x:f>
        <x:v>0</x:v>
      </x:c>
      <x:c r="F17" s="19" t="n">
        <x:f>IF(D17=0,"",E17/D17)</x:f>
        <x:v>0</x:v>
      </x:c>
      <x:c r="G17" s="21" t="n">
        <x:f>SUMIFS('任务总表'!$I$7:$I$82,'任务总表'!$C$7:$C$82,B17)/60</x:f>
        <x:v>6.25</x:v>
      </x:c>
      <x:c r="H17" s="21" t="n">
        <x:f>IF('今日任务'!$F$5&gt;0,G17*60/'今日任务'!$F$5,"请填预算")</x:f>
        <x:v>3.125</x:v>
      </x:c>
      <x:c r="I17" s="8" t="str">
        <x:v>理解前级基本功率路径和两环职责，能解释母线/功率/命令如何约束LLC。</x:v>
      </x:c>
      <x:c r="J17" s="8" t="str">
        <x:f>IF(E17=D17,"阶段通过","继续当前任务")</x:f>
        <x:v>继续当前任务</x:v>
      </x:c>
    </x:row>
    <x:row r="18" ht="64" customHeight="1">
      <x:c r="A18" s="2"/>
      <x:c r="B18" s="10" t="str">
        <x:v>S12</x:v>
      </x:c>
      <x:c r="C18" s="10" t="str">
        <x:v>验证、交付与复用</x:v>
      </x:c>
      <x:c r="D18" s="10" t="n">
        <x:f>COUNTIFS('任务总表'!$C$7:$C$82,B18)</x:f>
        <x:v>6</x:v>
      </x:c>
      <x:c r="E18" s="10" t="n">
        <x:f>COUNTIFS('任务总表'!$C$7:$C$82,B18,'任务总表'!$U$7:$U$82,"通过")</x:f>
        <x:v>0</x:v>
      </x:c>
      <x:c r="F18" s="20" t="n">
        <x:f>IF(D18=0,"",E18/D18)</x:f>
        <x:v>0</x:v>
      </x:c>
      <x:c r="G18" s="22" t="n">
        <x:f>SUMIFS('任务总表'!$I$7:$I$82,'任务总表'!$C$7:$C$82,B18)/60</x:f>
        <x:v>9.5</x:v>
      </x:c>
      <x:c r="H18" s="22" t="n">
        <x:f>IF('今日任务'!$F$5&gt;0,G18*60/'今日任务'!$F$5,"请填预算")</x:f>
        <x:v>4.75</x:v>
      </x:c>
      <x:c r="I18" s="10" t="str">
        <x:v>同版本证据可复跑；通过评审的逻辑/实机范围明确；能交付负责链路并复用。</x:v>
      </x:c>
      <x:c r="J18" s="10" t="str">
        <x:f>IF(E18=D18,"阶段通过","继续当前任务")</x:f>
        <x:v>继续当前任务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 t="str">
        <x:v>预算学习周仅换算起步分钟，不含补课、工具、返工、评审及台架排期，不是完成承诺。</x:v>
      </x:c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conditionalFormatting sqref="J7:J18">
    <x:cfRule type="containsText" dxfId="3" priority="1" operator="containsText" text="阶段通过"/>
  </x:conditionalFormatting>
  <x:pageMargins left="0.7" right="0.7" top="0.75" bottom="0.75" header="0.3" footer="0.3"/>
  <x:tableParts count="1">
    <x:tablePart xmlns:r="http://schemas.openxmlformats.org/officeDocument/2006/relationships" r:id="R9c15ae9c2d684a5d"/>
  </x:tableParts>
</x:worksheet>
</file>

<file path=xl/worksheets/sheet3.xml><?xml version="1.0" encoding="utf-8"?>
<x:worksheet xmlns:x="http://schemas.openxmlformats.org/spreadsheetml/2006/main">
  <x:sheetPr>
    <x:tabColor rgb="FF47708E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6" hidden="0" customWidth="1"/>
    <x:col min="2" max="2" width="12" hidden="0" customWidth="1"/>
    <x:col min="3" max="3" width="9" hidden="0" customWidth="1"/>
    <x:col min="4" max="4" width="27" hidden="0" customWidth="1"/>
    <x:col min="5" max="5" width="31" hidden="0" customWidth="1"/>
    <x:col min="6" max="6" width="53" hidden="0" customWidth="1"/>
    <x:col min="7" max="7" width="48" hidden="0" customWidth="1"/>
    <x:col min="8" max="8" width="43" hidden="0" customWidth="1"/>
    <x:col min="9" max="9" width="11" hidden="0" customWidth="1"/>
    <x:col min="10" max="10" width="12" hidden="0" customWidth="1"/>
    <x:col min="11" max="11" width="10" hidden="0" customWidth="1"/>
    <x:col min="12" max="12" width="32" hidden="0" customWidth="1"/>
    <x:col min="13" max="13" width="13" hidden="0" customWidth="1"/>
    <x:col min="14" max="14" width="11" hidden="0" customWidth="1"/>
    <x:col min="15" max="15" width="32" hidden="0" customWidth="1"/>
    <x:col min="16" max="16" width="12" hidden="0" customWidth="1"/>
    <x:col min="17" max="17" width="12" hidden="0" customWidth="1"/>
    <x:col min="18" max="18" width="12" hidden="0" customWidth="1"/>
    <x:col min="19" max="19" width="40" hidden="0" customWidth="1"/>
    <x:col min="20" max="20" width="15" hidden="0" customWidth="1"/>
    <x:col min="21" max="21" width="19" hidden="0" customWidth="1"/>
    <x:col min="22" max="2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2"/>
      <x:c r="B2" s="3" t="str">
        <x:v>顺序任务与完成证据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/>
      <x:c r="B3" s="2" t="str">
        <x:v>从上到下每次做一项。已有能力用证据快速核验；黄色列由你填写。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2"/>
      <x:c r="B4" s="2" t="str">
        <x:v>完成判定：状态完成＋证据＋复述＋变式＋证据等级＋前置通过。起步用时不含台架排期、补课和返工。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2" customHeight="1">
      <x:c r="A6" s="7" t="str">
        <x:v>序号</x:v>
      </x:c>
      <x:c r="B6" s="7" t="str">
        <x:v>任务ID</x:v>
      </x:c>
      <x:c r="C6" s="7" t="str">
        <x:v>阶段</x:v>
      </x:c>
      <x:c r="D6" s="7" t="str">
        <x:v>唯一问题</x:v>
      </x:c>
      <x:c r="E6" s="7" t="str">
        <x:v>必须知道</x:v>
      </x:c>
      <x:c r="F6" s="7" t="str">
        <x:v>具体操作</x:v>
      </x:c>
      <x:c r="G6" s="7" t="str">
        <x:v>交付与通过条件</x:v>
      </x:c>
      <x:c r="H6" s="7" t="str">
        <x:v>变式或反例</x:v>
      </x:c>
      <x:c r="I6" s="7" t="str">
        <x:v>起步分钟</x:v>
      </x:c>
      <x:c r="J6" s="7" t="str">
        <x:v>前置ID</x:v>
      </x:c>
      <x:c r="K6" s="7" t="str">
        <x:v>证据目标</x:v>
      </x:c>
      <x:c r="L6" s="7" t="str">
        <x:v>资料入口</x:v>
      </x:c>
      <x:c r="M6" s="7" t="str">
        <x:v>状态</x:v>
      </x:c>
      <x:c r="N6" s="7" t="str">
        <x:v>实际分钟</x:v>
      </x:c>
      <x:c r="O6" s="7" t="str">
        <x:v>证据位置</x:v>
      </x:c>
      <x:c r="P6" s="7" t="str">
        <x:v>闭卷复述</x:v>
      </x:c>
      <x:c r="Q6" s="7" t="str">
        <x:v>变式核验</x:v>
      </x:c>
      <x:c r="R6" s="7" t="str">
        <x:v>实际证据</x:v>
      </x:c>
      <x:c r="S6" s="7" t="str">
        <x:v>结论或卡点</x:v>
      </x:c>
      <x:c r="T6" s="7" t="str">
        <x:v>完成日期</x:v>
      </x:c>
      <x:c r="U6" s="7" t="str">
        <x:v>任务判定</x:v>
      </x:c>
      <x:c r="V6" s="7" t="str">
        <x:v>证据匹配</x:v>
      </x:c>
    </x:row>
    <x:row r="7" ht="64" customHeight="1">
      <x:c r="A7" s="2" t="n">
        <x:v>1</x:v>
      </x:c>
      <x:c r="B7" s="2" t="str">
        <x:v>S01-01</x:v>
      </x:c>
      <x:c r="C7" s="2" t="str">
        <x:v>S01</x:v>
      </x:c>
      <x:c r="D7" s="8" t="str">
        <x:v>确认资料与版本</x:v>
      </x:c>
      <x:c r="E7" s="8" t="str">
        <x:v>代码、DLL、模型和原理图是不同版本对象</x:v>
      </x:c>
      <x:c r="F7" s="8" t="str">
        <x:v>列出正在用的四个文件/版本；选一个学习副本；不比较全部历史文件。</x:v>
      </x:c>
      <x:c r="G7" s="8" t="str">
        <x:v>一张版本对应表；不确定的匹配明确标未知。</x:v>
      </x:c>
      <x:c r="H7" s="8" t="str">
        <x:v>换一个模型文件，能指出哪个接口/参数需重核。</x:v>
      </x:c>
      <x:c r="I7" s="15" t="n">
        <x:v>15</x:v>
      </x:c>
      <x:c r="J7" s="8" t="str"/>
      <x:c r="K7" s="8" t="str">
        <x:v>A</x:v>
      </x:c>
      <x:c r="L7" s="8" t="str">
        <x:v>R01；R03</x:v>
      </x:c>
      <x:c r="M7" s="13" t="str">
        <x:v>未开始</x:v>
      </x:c>
      <x:c r="N7" s="17"/>
      <x:c r="O7" s="14" t="str"/>
      <x:c r="P7" s="13" t="str">
        <x:v>未做</x:v>
      </x:c>
      <x:c r="Q7" s="13" t="str">
        <x:v>未做</x:v>
      </x:c>
      <x:c r="R7" s="13" t="str"/>
      <x:c r="S7" s="14" t="str"/>
      <x:c r="T7" s="18"/>
      <x:c r="U7" s="2" t="str">
        <x:f>IF(M7&lt;&gt;"完成","未通过",IF(O7="","缺证据位置",IF(P7&lt;&gt;"通过","待闭卷复述",IF(Q7&lt;&gt;"通过","待变式核验",IF(V7&lt;&gt;"达标",V7,IF("通过"&lt;&gt;"通过","前置未通过","通过"))))))</x:f>
        <x:v>未通过</x:v>
      </x:c>
      <x:c r="V7" s="2" t="str">
        <x:f>IF(R7="","待填证据等级",IF(MATCH(R7,'项目规格与资料'!$B$40:$B$44,0)&gt;=MATCH(K7,'项目规格与资料'!$B$40:$B$44,0),"达标","证据不足"))</x:f>
        <x:v>待填证据等级</x:v>
      </x:c>
    </x:row>
    <x:row r="8" ht="64" customHeight="1">
      <x:c r="A8" s="2" t="n">
        <x:v>2</x:v>
      </x:c>
      <x:c r="B8" s="9" t="str">
        <x:v>S01-02</x:v>
      </x:c>
      <x:c r="C8" s="9" t="str">
        <x:v>S01</x:v>
      </x:c>
      <x:c r="D8" s="10" t="str">
        <x:v>冻结已知规格与未知项</x:v>
      </x:c>
      <x:c r="E8" s="10" t="str">
        <x:v>AC输入、DC母线、电池范围、功率与电流的区别</x:v>
      </x:c>
      <x:c r="F8" s="10" t="str">
        <x:v>填项目规格表；沿用400V、380～420V、30～60V事实；列最大电流/CV目标等未知项。</x:v>
      </x:c>
      <x:c r="G8" s="10" t="str">
        <x:v>已知值有来源；未知项没有猜填；算1600W在30V和60V的电流要求。</x:v>
      </x:c>
      <x:c r="H8" s="10" t="str">
        <x:v>为何60V上限不能直接当所有电池的CV目标？</x:v>
      </x:c>
      <x:c r="I8" s="16" t="n">
        <x:v>25</x:v>
      </x:c>
      <x:c r="J8" s="10" t="str">
        <x:v>S01-01</x:v>
      </x:c>
      <x:c r="K8" s="10" t="str">
        <x:v>B</x:v>
      </x:c>
      <x:c r="L8" s="10" t="str">
        <x:v>R01</x:v>
      </x:c>
      <x:c r="M8" s="13" t="str">
        <x:v>未开始</x:v>
      </x:c>
      <x:c r="N8" s="17"/>
      <x:c r="O8" s="14" t="str"/>
      <x:c r="P8" s="13" t="str">
        <x:v>未做</x:v>
      </x:c>
      <x:c r="Q8" s="13" t="str">
        <x:v>未做</x:v>
      </x:c>
      <x:c r="R8" s="13" t="str"/>
      <x:c r="S8" s="14" t="str"/>
      <x:c r="T8" s="18"/>
      <x:c r="U8" s="9" t="str">
        <x:f>IF(M8&lt;&gt;"完成","未通过",IF(O8="","缺证据位置",IF(P8&lt;&gt;"通过","待闭卷复述",IF(Q8&lt;&gt;"通过","待变式核验",IF(V8&lt;&gt;"达标",V8,IF(U7&lt;&gt;"通过","前置未通过","通过"))))))</x:f>
        <x:v>未通过</x:v>
      </x:c>
      <x:c r="V8" s="9" t="str">
        <x:f>IF(R8="","待填证据等级",IF(MATCH(R8,'项目规格与资料'!$B$40:$B$44,0)&gt;=MATCH(K8,'项目规格与资料'!$B$40:$B$44,0),"达标","证据不足"))</x:f>
        <x:v>待填证据等级</x:v>
      </x:c>
    </x:row>
    <x:row r="9" ht="64" customHeight="1">
      <x:c r="A9" s="2" t="n">
        <x:v>3</x:v>
      </x:c>
      <x:c r="B9" s="2" t="str">
        <x:v>S01-03</x:v>
      </x:c>
      <x:c r="C9" s="2" t="str">
        <x:v>S01</x:v>
      </x:c>
      <x:c r="D9" s="8" t="str">
        <x:v>画整机四条路径</x:v>
      </x:c>
      <x:c r="E9" s="8" t="str">
        <x:v>能量流、采样链、控制链、故障链</x:v>
      </x:c>
      <x:c r="F9" s="8" t="str">
        <x:v>对照原理图圈PFC/LLC/SR/输出；各画一条路径；只标实际能确认的节点。</x:v>
      </x:c>
      <x:c r="G9" s="8" t="str">
        <x:v>一张标注图，能指出软件作用位置及继电器前后节点。</x:v>
      </x:c>
      <x:c r="H9" s="8" t="str">
        <x:v>继电器断开且Ibat≈0，原边是否一定无电流？</x:v>
      </x:c>
      <x:c r="I9" s="15" t="n">
        <x:v>25</x:v>
      </x:c>
      <x:c r="J9" s="8" t="str">
        <x:v>S01-02</x:v>
      </x:c>
      <x:c r="K9" s="8" t="str">
        <x:v>A</x:v>
      </x:c>
      <x:c r="L9" s="8" t="str">
        <x:v>R01；R04 §1</x:v>
      </x:c>
      <x:c r="M9" s="13" t="str">
        <x:v>未开始</x:v>
      </x:c>
      <x:c r="N9" s="17"/>
      <x:c r="O9" s="14" t="str"/>
      <x:c r="P9" s="13" t="str">
        <x:v>未做</x:v>
      </x:c>
      <x:c r="Q9" s="13" t="str">
        <x:v>未做</x:v>
      </x:c>
      <x:c r="R9" s="13" t="str"/>
      <x:c r="S9" s="14" t="str"/>
      <x:c r="T9" s="18"/>
      <x:c r="U9" s="2" t="str">
        <x:f>IF(M9&lt;&gt;"完成","未通过",IF(O9="","缺证据位置",IF(P9&lt;&gt;"通过","待闭卷复述",IF(Q9&lt;&gt;"通过","待变式核验",IF(V9&lt;&gt;"达标",V9,IF(U8&lt;&gt;"通过","前置未通过","通过"))))))</x:f>
        <x:v>未通过</x:v>
      </x:c>
      <x:c r="V9" s="2" t="str">
        <x:f>IF(R9="","待填证据等级",IF(MATCH(R9,'项目规格与资料'!$B$40:$B$44,0)&gt;=MATCH(K9,'项目规格与资料'!$B$40:$B$44,0),"达标","证据不足"))</x:f>
        <x:v>待填证据等级</x:v>
      </x:c>
    </x:row>
    <x:row r="10" ht="64" customHeight="1">
      <x:c r="A10" s="2" t="n">
        <x:v>4</x:v>
      </x:c>
      <x:c r="B10" s="9" t="str">
        <x:v>S01-04</x:v>
      </x:c>
      <x:c r="C10" s="9" t="str">
        <x:v>S01</x:v>
      </x:c>
      <x:c r="D10" s="10" t="str">
        <x:v>保存开环基线</x:v>
      </x:c>
      <x:c r="E10" s="10" t="str">
        <x:v>负载、初态、器件理想化和观察窗口</x:v>
      </x:c>
      <x:c r="F10" s="10" t="str">
        <x:v>在已能运行的模型原参数下复跑；记录Vbus/fs/调制/负载；保存门极与输出波形。</x:v>
      </x:c>
      <x:c r="G10" s="10" t="str">
        <x:v>同版本能复跑；写清电阻、电池或其他负载及未建因素。</x:v>
      </x:c>
      <x:c r="H10" s="10" t="str">
        <x:v>仍连接的理想0V电压源等于无电池吗？</x:v>
      </x:c>
      <x:c r="I10" s="16" t="n">
        <x:v>25</x:v>
      </x:c>
      <x:c r="J10" s="10" t="str">
        <x:v>S01-03</x:v>
      </x:c>
      <x:c r="K10" s="10" t="str">
        <x:v>B</x:v>
      </x:c>
      <x:c r="L10" s="10" t="str">
        <x:v>R03 §11；R05 L5</x:v>
      </x:c>
      <x:c r="M10" s="13" t="str">
        <x:v>未开始</x:v>
      </x:c>
      <x:c r="N10" s="17"/>
      <x:c r="O10" s="14" t="str"/>
      <x:c r="P10" s="13" t="str">
        <x:v>未做</x:v>
      </x:c>
      <x:c r="Q10" s="13" t="str">
        <x:v>未做</x:v>
      </x:c>
      <x:c r="R10" s="13" t="str"/>
      <x:c r="S10" s="14" t="str"/>
      <x:c r="T10" s="18"/>
      <x:c r="U10" s="9" t="str">
        <x:f>IF(M10&lt;&gt;"完成","未通过",IF(O10="","缺证据位置",IF(P10&lt;&gt;"通过","待闭卷复述",IF(Q10&lt;&gt;"通过","待变式核验",IF(V10&lt;&gt;"达标",V10,IF(U9&lt;&gt;"通过","前置未通过","通过"))))))</x:f>
        <x:v>未通过</x:v>
      </x:c>
      <x:c r="V10" s="9" t="str">
        <x:f>IF(R10="","待填证据等级",IF(MATCH(R10,'项目规格与资料'!$B$40:$B$44,0)&gt;=MATCH(K10,'项目规格与资料'!$B$40:$B$44,0),"达标","证据不足"))</x:f>
        <x:v>待填证据等级</x:v>
      </x:c>
    </x:row>
    <x:row r="11" ht="64" customHeight="1">
      <x:c r="A11" s="2" t="n">
        <x:v>5</x:v>
      </x:c>
      <x:c r="B11" s="2" t="str">
        <x:v>S01-05</x:v>
      </x:c>
      <x:c r="C11" s="2" t="str">
        <x:v>S01</x:v>
      </x:c>
      <x:c r="D11" s="8" t="str">
        <x:v>统一量与符号</x:v>
      </x:c>
      <x:c r="E11" s="8" t="str">
        <x:v>瞬时/平均/RMS；节点参考；ir/im/ip/Ibat</x:v>
      </x:c>
      <x:c r="F11" s="8" t="str">
        <x:v>给Vbus、SW、Vcr、ir、im、Ibat写单位和方向；在图上标参考点。</x:v>
      </x:c>
      <x:c r="G11" s="8" t="str">
        <x:v>一页符号表；能说明ir=im+ip不是输出直流电流关系。</x:v>
      </x:c>
      <x:c r="H11" s="8" t="str">
        <x:v>SW的0/400V与去直流后的±200V是否矛盾？</x:v>
      </x:c>
      <x:c r="I11" s="15" t="n">
        <x:v>25</x:v>
      </x:c>
      <x:c r="J11" s="8" t="str">
        <x:v>S01-04</x:v>
      </x:c>
      <x:c r="K11" s="8" t="str">
        <x:v>B</x:v>
      </x:c>
      <x:c r="L11" s="8" t="str">
        <x:v>R04 §1.4–1.7</x:v>
      </x:c>
      <x:c r="M11" s="13" t="str">
        <x:v>未开始</x:v>
      </x:c>
      <x:c r="N11" s="17"/>
      <x:c r="O11" s="14" t="str"/>
      <x:c r="P11" s="13" t="str">
        <x:v>未做</x:v>
      </x:c>
      <x:c r="Q11" s="13" t="str">
        <x:v>未做</x:v>
      </x:c>
      <x:c r="R11" s="13" t="str"/>
      <x:c r="S11" s="14" t="str"/>
      <x:c r="T11" s="18"/>
      <x:c r="U11" s="2" t="str">
        <x:f>IF(M11&lt;&gt;"完成","未通过",IF(O11="","缺证据位置",IF(P11&lt;&gt;"通过","待闭卷复述",IF(Q11&lt;&gt;"通过","待变式核验",IF(V11&lt;&gt;"达标",V11,IF(U10&lt;&gt;"通过","前置未通过","通过"))))))</x:f>
        <x:v>未通过</x:v>
      </x:c>
      <x:c r="V11" s="2" t="str">
        <x:f>IF(R11="","待填证据等级",IF(MATCH(R11,'项目规格与资料'!$B$40:$B$44,0)&gt;=MATCH(K11,'项目规格与资料'!$B$40:$B$44,0),"达标","证据不足"))</x:f>
        <x:v>待填证据等级</x:v>
      </x:c>
    </x:row>
    <x:row r="12" ht="64" customHeight="1">
      <x:c r="A12" s="2" t="n">
        <x:v>6</x:v>
      </x:c>
      <x:c r="B12" s="9" t="str">
        <x:v>S01-06</x:v>
      </x:c>
      <x:c r="C12" s="9" t="str">
        <x:v>S01</x:v>
      </x:c>
      <x:c r="D12" s="10" t="str">
        <x:v>建立记录与学习共识</x:v>
      </x:c>
      <x:c r="E12" s="10" t="str">
        <x:v>一个问题、预测、证据、复述、变式</x:v>
      </x:c>
      <x:c r="F12" s="10" t="str">
        <x:v>用实验记录填写上一项结果；练一次限定AI提问；约定只核对当前问题。</x:v>
      </x:c>
      <x:c r="G12" s="10" t="str">
        <x:v>一张自己的记录及一个25分钟下一步；区分A/B与实机证据。</x:v>
      </x:c>
      <x:c r="H12" s="10" t="str">
        <x:v>AI写出答案且你读懂了，为什么还不能标通过？</x:v>
      </x:c>
      <x:c r="I12" s="16" t="n">
        <x:v>15</x:v>
      </x:c>
      <x:c r="J12" s="10" t="str">
        <x:v>S01-05</x:v>
      </x:c>
      <x:c r="K12" s="10" t="str">
        <x:v>A</x:v>
      </x:c>
      <x:c r="L12" s="10" t="str">
        <x:v>R03 §4、§9；R05 §2、§8</x:v>
      </x:c>
      <x:c r="M12" s="13" t="str">
        <x:v>未开始</x:v>
      </x:c>
      <x:c r="N12" s="17"/>
      <x:c r="O12" s="14" t="str"/>
      <x:c r="P12" s="13" t="str">
        <x:v>未做</x:v>
      </x:c>
      <x:c r="Q12" s="13" t="str">
        <x:v>未做</x:v>
      </x:c>
      <x:c r="R12" s="13" t="str"/>
      <x:c r="S12" s="14" t="str"/>
      <x:c r="T12" s="18"/>
      <x:c r="U12" s="9" t="str">
        <x:f>IF(M12&lt;&gt;"完成","未通过",IF(O12="","缺证据位置",IF(P12&lt;&gt;"通过","待闭卷复述",IF(Q12&lt;&gt;"通过","待变式核验",IF(V12&lt;&gt;"达标",V12,IF(U11&lt;&gt;"通过","前置未通过","通过"))))))</x:f>
        <x:v>未通过</x:v>
      </x:c>
      <x:c r="V12" s="9" t="str">
        <x:f>IF(R12="","待填证据等级",IF(MATCH(R12,'项目规格与资料'!$B$40:$B$44,0)&gt;=MATCH(K12,'项目规格与资料'!$B$40:$B$44,0),"达标","证据不足"))</x:f>
        <x:v>待填证据等级</x:v>
      </x:c>
    </x:row>
    <x:row r="13" ht="64" customHeight="1">
      <x:c r="A13" s="2" t="n">
        <x:v>7</x:v>
      </x:c>
      <x:c r="B13" s="2" t="str">
        <x:v>S02-01</x:v>
      </x:c>
      <x:c r="C13" s="2" t="str">
        <x:v>S02</x:v>
      </x:c>
      <x:c r="D13" s="8" t="str">
        <x:v>把单位和周期算对</x:v>
      </x:c>
      <x:c r="E13" s="8" t="str">
        <x:v>μ/n/k；Hz、s、计数单位</x:v>
      </x:c>
      <x:c r="F13" s="8" t="str">
        <x:v>算125kHz周期；把20μH、164nF换SI单位；检查一条代码量纲。</x:v>
      </x:c>
      <x:c r="G13" s="8" t="str">
        <x:v>三个带单位的计算；能识别Hz与tick的不同。</x:v>
      </x:c>
      <x:c r="H13" s="8" t="str">
        <x:v>频率加倍，周期怎样变化？控制更新频率也一定加倍吗？</x:v>
      </x:c>
      <x:c r="I13" s="15" t="n">
        <x:v>25</x:v>
      </x:c>
      <x:c r="J13" s="8" t="str">
        <x:v>S01-06</x:v>
      </x:c>
      <x:c r="K13" s="8" t="str">
        <x:v>B</x:v>
      </x:c>
      <x:c r="L13" s="8" t="str">
        <x:v>R04 §2、§4</x:v>
      </x:c>
      <x:c r="M13" s="13" t="str">
        <x:v>未开始</x:v>
      </x:c>
      <x:c r="N13" s="17"/>
      <x:c r="O13" s="14" t="str"/>
      <x:c r="P13" s="13" t="str">
        <x:v>未做</x:v>
      </x:c>
      <x:c r="Q13" s="13" t="str">
        <x:v>未做</x:v>
      </x:c>
      <x:c r="R13" s="13" t="str"/>
      <x:c r="S13" s="14" t="str"/>
      <x:c r="T13" s="18"/>
      <x:c r="U13" s="2" t="str">
        <x:f>IF(M13&lt;&gt;"完成","未通过",IF(O13="","缺证据位置",IF(P13&lt;&gt;"通过","待闭卷复述",IF(Q13&lt;&gt;"通过","待变式核验",IF(V13&lt;&gt;"达标",V13,IF(U12&lt;&gt;"通过","前置未通过","通过"))))))</x:f>
        <x:v>未通过</x:v>
      </x:c>
      <x:c r="V13" s="2" t="str">
        <x:f>IF(R13="","待填证据等级",IF(MATCH(R13,'项目规格与资料'!$B$40:$B$44,0)&gt;=MATCH(K13,'项目规格与资料'!$B$40:$B$44,0),"达标","证据不足"))</x:f>
        <x:v>待填证据等级</x:v>
      </x:c>
    </x:row>
    <x:row r="14" ht="64" customHeight="1">
      <x:c r="A14" s="2" t="n">
        <x:v>8</x:v>
      </x:c>
      <x:c r="B14" s="9" t="str">
        <x:v>S02-02</x:v>
      </x:c>
      <x:c r="C14" s="9" t="str">
        <x:v>S02</x:v>
      </x:c>
      <x:c r="D14" s="10" t="str">
        <x:v>理解电感电流斜率</x:v>
      </x:c>
      <x:c r="E14" s="10" t="str">
        <x:v>v=L·di/dt与初始电流</x:v>
      </x:c>
      <x:c r="F14" s="10" t="str">
        <x:v>选一个固定电压算例，先算Δi再加i0；反向电压重算；对应Lr或Lm。</x:v>
      </x:c>
      <x:c r="G14" s="10" t="str">
        <x:v>能算增量和终值；知道关门极不清除电感能量。</x:v>
      </x:c>
      <x:c r="H14" s="10" t="str">
        <x:v>同一脉冲但i0不同，峰值能相同吗？</x:v>
      </x:c>
      <x:c r="I14" s="16" t="n">
        <x:v>25</x:v>
      </x:c>
      <x:c r="J14" s="10" t="str">
        <x:v>S02-01</x:v>
      </x:c>
      <x:c r="K14" s="10" t="str">
        <x:v>B</x:v>
      </x:c>
      <x:c r="L14" s="10" t="str">
        <x:v>R04 §2.1</x:v>
      </x:c>
      <x:c r="M14" s="13" t="str">
        <x:v>未开始</x:v>
      </x:c>
      <x:c r="N14" s="17"/>
      <x:c r="O14" s="14" t="str"/>
      <x:c r="P14" s="13" t="str">
        <x:v>未做</x:v>
      </x:c>
      <x:c r="Q14" s="13" t="str">
        <x:v>未做</x:v>
      </x:c>
      <x:c r="R14" s="13" t="str"/>
      <x:c r="S14" s="14" t="str"/>
      <x:c r="T14" s="18"/>
      <x:c r="U14" s="9" t="str">
        <x:f>IF(M14&lt;&gt;"完成","未通过",IF(O14="","缺证据位置",IF(P14&lt;&gt;"通过","待闭卷复述",IF(Q14&lt;&gt;"通过","待变式核验",IF(V14&lt;&gt;"达标",V14,IF(U13&lt;&gt;"通过","前置未通过","通过"))))))</x:f>
        <x:v>未通过</x:v>
      </x:c>
      <x:c r="V14" s="9" t="str">
        <x:f>IF(R14="","待填证据等级",IF(MATCH(R14,'项目规格与资料'!$B$40:$B$44,0)&gt;=MATCH(K14,'项目规格与资料'!$B$40:$B$44,0),"达标","证据不足"))</x:f>
        <x:v>待填证据等级</x:v>
      </x:c>
    </x:row>
    <x:row r="15" ht="64" customHeight="1">
      <x:c r="A15" s="2" t="n">
        <x:v>9</x:v>
      </x:c>
      <x:c r="B15" s="2" t="str">
        <x:v>S02-03</x:v>
      </x:c>
      <x:c r="C15" s="2" t="str">
        <x:v>S02</x:v>
      </x:c>
      <x:c r="D15" s="8" t="str">
        <x:v>理解电容电压斜率</x:v>
      </x:c>
      <x:c r="E15" s="8" t="str">
        <x:v>i=C·dv/dt与输出电流差</x:v>
      </x:c>
      <x:c r="F15" s="8" t="str">
        <x:v>用给定Co、整流电流和负载电流算dVo/dt；改成电池负载说明差异。</x:v>
      </x:c>
      <x:c r="G15" s="8" t="str">
        <x:v>能写Co·dVo/dt=irect-iload并说明各电流。</x:v>
      </x:c>
      <x:c r="H15" s="8" t="str">
        <x:v>有Vo但LLC没传能，可能是什么原因？</x:v>
      </x:c>
      <x:c r="I15" s="15" t="n">
        <x:v>25</x:v>
      </x:c>
      <x:c r="J15" s="8" t="str">
        <x:v>S02-02</x:v>
      </x:c>
      <x:c r="K15" s="8" t="str">
        <x:v>B</x:v>
      </x:c>
      <x:c r="L15" s="8" t="str">
        <x:v>R04 §2.2；R01 §1.3</x:v>
      </x:c>
      <x:c r="M15" s="13" t="str">
        <x:v>未开始</x:v>
      </x:c>
      <x:c r="N15" s="17"/>
      <x:c r="O15" s="14" t="str"/>
      <x:c r="P15" s="13" t="str">
        <x:v>未做</x:v>
      </x:c>
      <x:c r="Q15" s="13" t="str">
        <x:v>未做</x:v>
      </x:c>
      <x:c r="R15" s="13" t="str"/>
      <x:c r="S15" s="14" t="str"/>
      <x:c r="T15" s="18"/>
      <x:c r="U15" s="2" t="str">
        <x:f>IF(M15&lt;&gt;"完成","未通过",IF(O15="","缺证据位置",IF(P15&lt;&gt;"通过","待闭卷复述",IF(Q15&lt;&gt;"通过","待变式核验",IF(V15&lt;&gt;"达标",V15,IF(U14&lt;&gt;"通过","前置未通过","通过"))))))</x:f>
        <x:v>未通过</x:v>
      </x:c>
      <x:c r="V15" s="2" t="str">
        <x:f>IF(R15="","待填证据等级",IF(MATCH(R15,'项目规格与资料'!$B$40:$B$44,0)&gt;=MATCH(K15,'项目规格与资料'!$B$40:$B$44,0),"达标","证据不足"))</x:f>
        <x:v>待填证据等级</x:v>
      </x:c>
    </x:row>
    <x:row r="16" ht="64" customHeight="1">
      <x:c r="A16" s="2" t="n">
        <x:v>10</x:v>
      </x:c>
      <x:c r="B16" s="9" t="str">
        <x:v>S02-04</x:v>
      </x:c>
      <x:c r="C16" s="9" t="str">
        <x:v>S02</x:v>
      </x:c>
      <x:c r="D16" s="10" t="str">
        <x:v>理解变压器与伏秒</x:v>
      </x:c>
      <x:c r="E16" s="10" t="str">
        <x:v>匝比、极性、磁通累积</x:v>
      </x:c>
      <x:c r="F16" s="10" t="str">
        <x:v>从实际副边接法定义Np/Ns；算一组电压/电流折算；解释不对称伏秒。</x:v>
      </x:c>
      <x:c r="G16" s="10" t="str">
        <x:v>极性和Ns定义明确；模型值没有冒充实物设计。</x:v>
      </x:c>
      <x:c r="H16" s="10" t="str">
        <x:v>中心抽头半绕组与全绕组的Ns能混用吗？</x:v>
      </x:c>
      <x:c r="I16" s="16" t="n">
        <x:v>50</x:v>
      </x:c>
      <x:c r="J16" s="10" t="str">
        <x:v>S02-03</x:v>
      </x:c>
      <x:c r="K16" s="10" t="str">
        <x:v>B</x:v>
      </x:c>
      <x:c r="L16" s="10" t="str">
        <x:v>R04 §2.3、§4.3</x:v>
      </x:c>
      <x:c r="M16" s="13" t="str">
        <x:v>未开始</x:v>
      </x:c>
      <x:c r="N16" s="17"/>
      <x:c r="O16" s="14" t="str"/>
      <x:c r="P16" s="13" t="str">
        <x:v>未做</x:v>
      </x:c>
      <x:c r="Q16" s="13" t="str">
        <x:v>未做</x:v>
      </x:c>
      <x:c r="R16" s="13" t="str"/>
      <x:c r="S16" s="14" t="str"/>
      <x:c r="T16" s="18"/>
      <x:c r="U16" s="9" t="str">
        <x:f>IF(M16&lt;&gt;"完成","未通过",IF(O16="","缺证据位置",IF(P16&lt;&gt;"通过","待闭卷复述",IF(Q16&lt;&gt;"通过","待变式核验",IF(V16&lt;&gt;"达标",V16,IF(U15&lt;&gt;"通过","前置未通过","通过"))))))</x:f>
        <x:v>未通过</x:v>
      </x:c>
      <x:c r="V16" s="9" t="str">
        <x:f>IF(R16="","待填证据等级",IF(MATCH(R16,'项目规格与资料'!$B$40:$B$44,0)&gt;=MATCH(K16,'项目规格与资料'!$B$40:$B$44,0),"达标","证据不足"))</x:f>
        <x:v>待填证据等级</x:v>
      </x:c>
    </x:row>
    <x:row r="17" ht="64" customHeight="1">
      <x:c r="A17" s="2" t="n">
        <x:v>11</x:v>
      </x:c>
      <x:c r="B17" s="2" t="str">
        <x:v>S02-05</x:v>
      </x:c>
      <x:c r="C17" s="2" t="str">
        <x:v>S02</x:v>
      </x:c>
      <x:c r="D17" s="8" t="str">
        <x:v>核对储能与功率</x:v>
      </x:c>
      <x:c r="E17" s="8" t="str">
        <x:v>LI²/2、CV²/2、输入输出损耗</x:v>
      </x:c>
      <x:c r="F17" s="8" t="str">
        <x:v>算一个Lr和Co能量；比较输入、输出测量点；区分稳态平均与瞬时功率。</x:v>
      </x:c>
      <x:c r="G17" s="8" t="str">
        <x:v>带初值和单位的能量表；解释损耗和能量暂存。</x:v>
      </x:c>
      <x:c r="H17" s="8" t="str">
        <x:v>为什么瞬时输入输出功率可能不相等？</x:v>
      </x:c>
      <x:c r="I17" s="15" t="n">
        <x:v>25</x:v>
      </x:c>
      <x:c r="J17" s="8" t="str">
        <x:v>S02-04</x:v>
      </x:c>
      <x:c r="K17" s="8" t="str">
        <x:v>B</x:v>
      </x:c>
      <x:c r="L17" s="8" t="str">
        <x:v>R04 §2；R01 §2</x:v>
      </x:c>
      <x:c r="M17" s="13" t="str">
        <x:v>未开始</x:v>
      </x:c>
      <x:c r="N17" s="17"/>
      <x:c r="O17" s="14" t="str"/>
      <x:c r="P17" s="13" t="str">
        <x:v>未做</x:v>
      </x:c>
      <x:c r="Q17" s="13" t="str">
        <x:v>未做</x:v>
      </x:c>
      <x:c r="R17" s="13" t="str"/>
      <x:c r="S17" s="14" t="str"/>
      <x:c r="T17" s="18"/>
      <x:c r="U17" s="2" t="str">
        <x:f>IF(M17&lt;&gt;"完成","未通过",IF(O17="","缺证据位置",IF(P17&lt;&gt;"通过","待闭卷复述",IF(Q17&lt;&gt;"通过","待变式核验",IF(V17&lt;&gt;"达标",V17,IF(U16&lt;&gt;"通过","前置未通过","通过"))))))</x:f>
        <x:v>未通过</x:v>
      </x:c>
      <x:c r="V17" s="2" t="str">
        <x:f>IF(R17="","待填证据等级",IF(MATCH(R17,'项目规格与资料'!$B$40:$B$44,0)&gt;=MATCH(K17,'项目规格与资料'!$B$40:$B$44,0),"达标","证据不足"))</x:f>
        <x:v>待填证据等级</x:v>
      </x:c>
    </x:row>
    <x:row r="18" ht="64" customHeight="1">
      <x:c r="A18" s="2" t="n">
        <x:v>12</x:v>
      </x:c>
      <x:c r="B18" s="9" t="str">
        <x:v>S02-06</x:v>
      </x:c>
      <x:c r="C18" s="9" t="str">
        <x:v>S02</x:v>
      </x:c>
      <x:c r="D18" s="10" t="str">
        <x:v>理解RMS与基础复数</x:v>
      </x:c>
      <x:c r="E18" s="10" t="str">
        <x:v>RMS损耗；串并联阻抗；相位</x:v>
      </x:c>
      <x:c r="F18" s="10" t="str">
        <x:v>算简单矩形电流RMS；按讲义写ZL/ZC及一个分压式；先不推全套模型。</x:v>
      </x:c>
      <x:c r="G18" s="10" t="str">
        <x:v>能区分平均电流与RMS；能在fr检查串联电抗抵消。</x:v>
      </x:c>
      <x:c r="H18" s="10" t="str">
        <x:v>Zs=0是否等于整个输入阻抗为0？</x:v>
      </x:c>
      <x:c r="I18" s="16" t="n">
        <x:v>50</x:v>
      </x:c>
      <x:c r="J18" s="10" t="str">
        <x:v>S02-05</x:v>
      </x:c>
      <x:c r="K18" s="10" t="str">
        <x:v>B</x:v>
      </x:c>
      <x:c r="L18" s="10" t="str">
        <x:v>R04 §5</x:v>
      </x:c>
      <x:c r="M18" s="13" t="str">
        <x:v>未开始</x:v>
      </x:c>
      <x:c r="N18" s="17"/>
      <x:c r="O18" s="14" t="str"/>
      <x:c r="P18" s="13" t="str">
        <x:v>未做</x:v>
      </x:c>
      <x:c r="Q18" s="13" t="str">
        <x:v>未做</x:v>
      </x:c>
      <x:c r="R18" s="13" t="str"/>
      <x:c r="S18" s="14" t="str"/>
      <x:c r="T18" s="18"/>
      <x:c r="U18" s="9" t="str">
        <x:f>IF(M18&lt;&gt;"完成","未通过",IF(O18="","缺证据位置",IF(P18&lt;&gt;"通过","待闭卷复述",IF(Q18&lt;&gt;"通过","待变式核验",IF(V18&lt;&gt;"达标",V18,IF(U17&lt;&gt;"通过","前置未通过","通过"))))))</x:f>
        <x:v>未通过</x:v>
      </x:c>
      <x:c r="V18" s="9" t="str">
        <x:f>IF(R18="","待填证据等级",IF(MATCH(R18,'项目规格与资料'!$B$40:$B$44,0)&gt;=MATCH(K18,'项目规格与资料'!$B$40:$B$44,0),"达标","证据不足"))</x:f>
        <x:v>待填证据等级</x:v>
      </x:c>
    </x:row>
    <x:row r="19" ht="64" customHeight="1">
      <x:c r="A19" s="2" t="n">
        <x:v>13</x:v>
      </x:c>
      <x:c r="B19" s="2" t="str">
        <x:v>S03-01</x:v>
      </x:c>
      <x:c r="C19" s="2" t="str">
        <x:v>S03</x:v>
      </x:c>
      <x:c r="D19" s="8" t="str">
        <x:v>识别半桥四种开关状态</x:v>
      </x:c>
      <x:c r="E19" s="8" t="str">
        <x:v>QH/QL、SW、死区内续流</x:v>
      </x:c>
      <x:c r="F19" s="8" t="str">
        <x:v>填高开低关/高关低开/全关/同时开表；把实际驱动极性标出来。</x:v>
      </x:c>
      <x:c r="G19" s="8" t="str">
        <x:v>表中全关状态没有被写成固定零电压；能解释直通路径。</x:v>
      </x:c>
      <x:c r="H19" s="8" t="str">
        <x:v>两管全关时，SW为什么可能继续变化？</x:v>
      </x:c>
      <x:c r="I19" s="15" t="n">
        <x:v>25</x:v>
      </x:c>
      <x:c r="J19" s="8" t="str">
        <x:v>S02-06</x:v>
      </x:c>
      <x:c r="K19" s="8" t="str">
        <x:v>A</x:v>
      </x:c>
      <x:c r="L19" s="8" t="str">
        <x:v>R04 §1.2；R02 §2</x:v>
      </x:c>
      <x:c r="M19" s="13" t="str">
        <x:v>未开始</x:v>
      </x:c>
      <x:c r="N19" s="17"/>
      <x:c r="O19" s="14" t="str"/>
      <x:c r="P19" s="13" t="str">
        <x:v>未做</x:v>
      </x:c>
      <x:c r="Q19" s="13" t="str">
        <x:v>未做</x:v>
      </x:c>
      <x:c r="R19" s="13" t="str"/>
      <x:c r="S19" s="14" t="str"/>
      <x:c r="T19" s="18"/>
      <x:c r="U19" s="2" t="str">
        <x:f>IF(M19&lt;&gt;"完成","未通过",IF(O19="","缺证据位置",IF(P19&lt;&gt;"通过","待闭卷复述",IF(Q19&lt;&gt;"通过","待变式核验",IF(V19&lt;&gt;"达标",V19,IF(U18&lt;&gt;"通过","前置未通过","通过"))))))</x:f>
        <x:v>未通过</x:v>
      </x:c>
      <x:c r="V19" s="2" t="str">
        <x:f>IF(R19="","待填证据等级",IF(MATCH(R19,'项目规格与资料'!$B$40:$B$44,0)&gt;=MATCH(K19,'项目规格与资料'!$B$40:$B$44,0),"达标","证据不足"))</x:f>
        <x:v>待填证据等级</x:v>
      </x:c>
    </x:row>
    <x:row r="20" ht="64" customHeight="1">
      <x:c r="A20" s="2" t="n">
        <x:v>14</x:v>
      </x:c>
      <x:c r="B20" s="9" t="str">
        <x:v>S03-02</x:v>
      </x:c>
      <x:c r="C20" s="9" t="str">
        <x:v>S03</x:v>
      </x:c>
      <x:c r="D20" s="10" t="str">
        <x:v>计算短脉冲PWM窗口</x:v>
      </x:c>
      <x:c r="E20" s="10" t="str">
        <x:v>T/4与3T/4中心；Duty到边沿</x:v>
      </x:c>
      <x:c r="F20" s="10" t="str">
        <x:v>按SHRTIMERdrive非模式7分支，独立算125kHz、Duty=0.2低侧脉宽；再算四边沿。</x:v>
      </x:c>
      <x:c r="G20" s="10" t="str">
        <x:v>手算带单位，能对照源码；尚未提交的前一题在这里完成。</x:v>
      </x:c>
      <x:c r="H20" s="10" t="str">
        <x:v>改频率或Duty，是否会变成20%/80%互补？</x:v>
      </x:c>
      <x:c r="I20" s="16" t="n">
        <x:v>25</x:v>
      </x:c>
      <x:c r="J20" s="10" t="str">
        <x:v>S03-01</x:v>
      </x:c>
      <x:c r="K20" s="10" t="str">
        <x:v>B</x:v>
      </x:c>
      <x:c r="L20" s="10" t="str">
        <x:v>R03 §8；R08 SHRTIMERdrive</x:v>
      </x:c>
      <x:c r="M20" s="13" t="str">
        <x:v>未开始</x:v>
      </x:c>
      <x:c r="N20" s="17"/>
      <x:c r="O20" s="14" t="str"/>
      <x:c r="P20" s="13" t="str">
        <x:v>未做</x:v>
      </x:c>
      <x:c r="Q20" s="13" t="str">
        <x:v>未做</x:v>
      </x:c>
      <x:c r="R20" s="13" t="str"/>
      <x:c r="S20" s="14" t="str"/>
      <x:c r="T20" s="18"/>
      <x:c r="U20" s="9" t="str">
        <x:f>IF(M20&lt;&gt;"完成","未通过",IF(O20="","缺证据位置",IF(P20&lt;&gt;"通过","待闭卷复述",IF(Q20&lt;&gt;"通过","待变式核验",IF(V20&lt;&gt;"达标",V20,IF(U19&lt;&gt;"通过","前置未通过","通过"))))))</x:f>
        <x:v>未通过</x:v>
      </x:c>
      <x:c r="V20" s="9" t="str">
        <x:f>IF(R20="","待填证据等级",IF(MATCH(R20,'项目规格与资料'!$B$40:$B$44,0)&gt;=MATCH(K20,'项目规格与资料'!$B$40:$B$44,0),"达标","证据不足"))</x:f>
        <x:v>待填证据等级</x:v>
      </x:c>
    </x:row>
    <x:row r="21" ht="64" customHeight="1">
      <x:c r="A21" s="2" t="n">
        <x:v>15</x:v>
      </x:c>
      <x:c r="B21" s="2" t="str">
        <x:v>S03-03</x:v>
      </x:c>
      <x:c r="C21" s="2" t="str">
        <x:v>S03</x:v>
      </x:c>
      <x:c r="D21" s="8" t="str">
        <x:v>计算PFM与窗口间隔</x:v>
      </x:c>
      <x:c r="E21" s="8" t="str">
        <x:v>频率到周期；固定计数偏移</x:v>
      </x:c>
      <x:c r="F21" s="8" t="str">
        <x:v>按模式7算周期/四边沿/相邻窗口间隔；区分120计数偏移与240计数间隔。</x:v>
      </x:c>
      <x:c r="G21" s="8" t="str">
        <x:v>命令窗口间隔计算正确；不把计数直接读作ns。</x:v>
      </x:c>
      <x:c r="H21" s="8" t="str">
        <x:v>同模式7改变Duty，原边窗口是否一定变化？</x:v>
      </x:c>
      <x:c r="I21" s="15" t="n">
        <x:v>25</x:v>
      </x:c>
      <x:c r="J21" s="8" t="str">
        <x:v>S03-02</x:v>
      </x:c>
      <x:c r="K21" s="8" t="str">
        <x:v>B</x:v>
      </x:c>
      <x:c r="L21" s="8" t="str">
        <x:v>R08 SHRTIMERdrive；R02 §7.3</x:v>
      </x:c>
      <x:c r="M21" s="13" t="str">
        <x:v>未开始</x:v>
      </x:c>
      <x:c r="N21" s="17"/>
      <x:c r="O21" s="14" t="str"/>
      <x:c r="P21" s="13" t="str">
        <x:v>未做</x:v>
      </x:c>
      <x:c r="Q21" s="13" t="str">
        <x:v>未做</x:v>
      </x:c>
      <x:c r="R21" s="13" t="str"/>
      <x:c r="S21" s="14" t="str"/>
      <x:c r="T21" s="18"/>
      <x:c r="U21" s="2" t="str">
        <x:f>IF(M21&lt;&gt;"完成","未通过",IF(O21="","缺证据位置",IF(P21&lt;&gt;"通过","待闭卷复述",IF(Q21&lt;&gt;"通过","待变式核验",IF(V21&lt;&gt;"达标",V21,IF(U20&lt;&gt;"通过","前置未通过","通过"))))))</x:f>
        <x:v>未通过</x:v>
      </x:c>
      <x:c r="V21" s="2" t="str">
        <x:f>IF(R21="","待填证据等级",IF(MATCH(R21,'项目规格与资料'!$B$40:$B$44,0)&gt;=MATCH(K21,'项目规格与资料'!$B$40:$B$44,0),"达标","证据不足"))</x:f>
        <x:v>待填证据等级</x:v>
      </x:c>
    </x:row>
    <x:row r="22" ht="64" customHeight="1">
      <x:c r="A22" s="2" t="n">
        <x:v>16</x:v>
      </x:c>
      <x:c r="B22" s="9" t="str">
        <x:v>S03-04</x:v>
      </x:c>
      <x:c r="C22" s="9" t="str">
        <x:v>S03</x:v>
      </x:c>
      <x:c r="D22" s="10" t="str">
        <x:v>核对模型门极生成方式</x:v>
      </x:c>
      <x:c r="E22" s="10" t="str">
        <x:v>锯齿、边沿、使能和归一化</x:v>
      </x:c>
      <x:c r="F22" s="10" t="str">
        <x:v>在原模型观察一周期；追原边门极连接；对照短脉冲或互补公式。</x:v>
      </x:c>
      <x:c r="G22" s="10" t="str">
        <x:v>记录指令与实际逻辑门极；不同调制明确标差别。</x:v>
      </x:c>
      <x:c r="H22" s="10" t="str">
        <x:v>Duty非0但DrvH=0，上管应该有什么波形？</x:v>
      </x:c>
      <x:c r="I22" s="16" t="n">
        <x:v>50</x:v>
      </x:c>
      <x:c r="J22" s="10" t="str">
        <x:v>S03-03</x:v>
      </x:c>
      <x:c r="K22" s="10" t="str">
        <x:v>B</x:v>
      </x:c>
      <x:c r="L22" s="10" t="str">
        <x:v>R09 DLL出口；R03 T01</x:v>
      </x:c>
      <x:c r="M22" s="13" t="str">
        <x:v>未开始</x:v>
      </x:c>
      <x:c r="N22" s="17"/>
      <x:c r="O22" s="14" t="str"/>
      <x:c r="P22" s="13" t="str">
        <x:v>未做</x:v>
      </x:c>
      <x:c r="Q22" s="13" t="str">
        <x:v>未做</x:v>
      </x:c>
      <x:c r="R22" s="13" t="str"/>
      <x:c r="S22" s="14" t="str"/>
      <x:c r="T22" s="18"/>
      <x:c r="U22" s="9" t="str">
        <x:f>IF(M22&lt;&gt;"完成","未通过",IF(O22="","缺证据位置",IF(P22&lt;&gt;"通过","待闭卷复述",IF(Q22&lt;&gt;"通过","待变式核验",IF(V22&lt;&gt;"达标",V22,IF(U21&lt;&gt;"通过","前置未通过","通过"))))))</x:f>
        <x:v>未通过</x:v>
      </x:c>
      <x:c r="V22" s="9" t="str">
        <x:f>IF(R22="","待填证据等级",IF(MATCH(R22,'项目规格与资料'!$B$40:$B$44,0)&gt;=MATCH(K22,'项目规格与资料'!$B$40:$B$44,0),"达标","证据不足"))</x:f>
        <x:v>待填证据等级</x:v>
      </x:c>
    </x:row>
    <x:row r="23" ht="64" customHeight="1">
      <x:c r="A23" s="2" t="n">
        <x:v>17</x:v>
      </x:c>
      <x:c r="B23" s="2" t="str">
        <x:v>S03-05</x:v>
      </x:c>
      <x:c r="C23" s="2" t="str">
        <x:v>S03</x:v>
      </x:c>
      <x:c r="D23" s="8" t="str">
        <x:v>建立驱动供电认识</x:v>
      </x:c>
      <x:c r="E23" s="8" t="str">
        <x:v>VDD、VB−VS、UVLO与传播延迟</x:v>
      </x:c>
      <x:c r="F23" s="8" t="str">
        <x:v>从原理图找原边驱动型号；区分自举和隔离供电；列缺失参数与测量需求。</x:v>
      </x:c>
      <x:c r="G23" s="8" t="str">
        <x:v>一张供电/信号路径表；没有型号时保留未知，不给固定预充时间。</x:v>
      </x:c>
      <x:c r="H23" s="8" t="str">
        <x:v>先充过自举，停波0.5s后还能直接沿用吗？</x:v>
      </x:c>
      <x:c r="I23" s="15" t="n">
        <x:v>50</x:v>
      </x:c>
      <x:c r="J23" s="8" t="str">
        <x:v>S03-04</x:v>
      </x:c>
      <x:c r="K23" s="8" t="str">
        <x:v>A</x:v>
      </x:c>
      <x:c r="L23" s="8" t="str">
        <x:v>R02 §3</x:v>
      </x:c>
      <x:c r="M23" s="13" t="str">
        <x:v>未开始</x:v>
      </x:c>
      <x:c r="N23" s="17"/>
      <x:c r="O23" s="14" t="str"/>
      <x:c r="P23" s="13" t="str">
        <x:v>未做</x:v>
      </x:c>
      <x:c r="Q23" s="13" t="str">
        <x:v>未做</x:v>
      </x:c>
      <x:c r="R23" s="13" t="str"/>
      <x:c r="S23" s="14" t="str"/>
      <x:c r="T23" s="18"/>
      <x:c r="U23" s="2" t="str">
        <x:f>IF(M23&lt;&gt;"完成","未通过",IF(O23="","缺证据位置",IF(P23&lt;&gt;"通过","待闭卷复述",IF(Q23&lt;&gt;"通过","待变式核验",IF(V23&lt;&gt;"达标",V23,IF(U22&lt;&gt;"通过","前置未通过","通过"))))))</x:f>
        <x:v>未通过</x:v>
      </x:c>
      <x:c r="V23" s="2" t="str">
        <x:f>IF(R23="","待填证据等级",IF(MATCH(R23,'项目规格与资料'!$B$40:$B$44,0)&gt;=MATCH(K23,'项目规格与资料'!$B$40:$B$44,0),"达标","证据不足"))</x:f>
        <x:v>待填证据等级</x:v>
      </x:c>
    </x:row>
    <x:row r="24" ht="64" customHeight="1">
      <x:c r="A24" s="2" t="n">
        <x:v>18</x:v>
      </x:c>
      <x:c r="B24" s="9" t="str">
        <x:v>S03-06</x:v>
      </x:c>
      <x:c r="C24" s="9" t="str">
        <x:v>S03</x:v>
      </x:c>
      <x:c r="D24" s="10" t="str">
        <x:v>核对MCU时序初始条件</x:v>
      </x:c>
      <x:c r="E24" s="10" t="str">
        <x:v>预装载、生效点、GPIO复用和故障封锁</x:v>
      </x:c>
      <x:c r="F24" s="10" t="str">
        <x:v>读HRTIM初始化与门极使能；标安全帧生效和许可顺序；先做纸面时序。</x:v>
      </x:c>
      <x:c r="G24" s="10" t="str">
        <x:v>一张第一拍事件表；已配置和已实测分别标注。</x:v>
      </x:c>
      <x:c r="H24" s="10" t="str">
        <x:v>比较值写好了是否等于已锁存且引脚已安全输出？</x:v>
      </x:c>
      <x:c r="I24" s="16" t="n">
        <x:v>50</x:v>
      </x:c>
      <x:c r="J24" s="10" t="str">
        <x:v>S03-05</x:v>
      </x:c>
      <x:c r="K24" s="10" t="str">
        <x:v>A</x:v>
      </x:c>
      <x:c r="L24" s="10" t="str">
        <x:v>R10 HRTIM；R02 §7.5</x:v>
      </x:c>
      <x:c r="M24" s="13" t="str">
        <x:v>未开始</x:v>
      </x:c>
      <x:c r="N24" s="17"/>
      <x:c r="O24" s="14" t="str"/>
      <x:c r="P24" s="13" t="str">
        <x:v>未做</x:v>
      </x:c>
      <x:c r="Q24" s="13" t="str">
        <x:v>未做</x:v>
      </x:c>
      <x:c r="R24" s="13" t="str"/>
      <x:c r="S24" s="14" t="str"/>
      <x:c r="T24" s="18"/>
      <x:c r="U24" s="9" t="str">
        <x:f>IF(M24&lt;&gt;"完成","未通过",IF(O24="","缺证据位置",IF(P24&lt;&gt;"通过","待闭卷复述",IF(Q24&lt;&gt;"通过","待变式核验",IF(V24&lt;&gt;"达标",V24,IF(U23&lt;&gt;"通过","前置未通过","通过"))))))</x:f>
        <x:v>未通过</x:v>
      </x:c>
      <x:c r="V24" s="9" t="str">
        <x:f>IF(R24="","待填证据等级",IF(MATCH(R24,'项目规格与资料'!$B$40:$B$44,0)&gt;=MATCH(K24,'项目规格与资料'!$B$40:$B$44,0),"达标","证据不足"))</x:f>
        <x:v>待填证据等级</x:v>
      </x:c>
    </x:row>
    <x:row r="25" ht="64" customHeight="1">
      <x:c r="A25" s="2" t="n">
        <x:v>19</x:v>
      </x:c>
      <x:c r="B25" s="2" t="str">
        <x:v>S04-01</x:v>
      </x:c>
      <x:c r="C25" s="2" t="str">
        <x:v>S04</x:v>
      </x:c>
      <x:c r="D25" s="8" t="str">
        <x:v>定位Lr、Cr、Lm</x:v>
      </x:c>
      <x:c r="E25" s="8" t="str">
        <x:v>实体器件、漏感和励磁等效</x:v>
      </x:c>
      <x:c r="F25" s="8" t="str">
        <x:v>对照实际图和模型标三参数位置及来源；核对是否与FullTest参数相同。</x:v>
      </x:c>
      <x:c r="G25" s="8" t="str">
        <x:v>参数表含来源/未知；不把模型Lm当必有独立电感。</x:v>
      </x:c>
      <x:c r="H25" s="8" t="str">
        <x:v>改变Lr会同时影响哪些特征？先说两项。</x:v>
      </x:c>
      <x:c r="I25" s="15" t="n">
        <x:v>25</x:v>
      </x:c>
      <x:c r="J25" s="8" t="str">
        <x:v>S03-06</x:v>
      </x:c>
      <x:c r="K25" s="8" t="str">
        <x:v>A</x:v>
      </x:c>
      <x:c r="L25" s="8" t="str">
        <x:v>R01 §1.2；R04 §1.3</x:v>
      </x:c>
      <x:c r="M25" s="13" t="str">
        <x:v>未开始</x:v>
      </x:c>
      <x:c r="N25" s="17"/>
      <x:c r="O25" s="14" t="str"/>
      <x:c r="P25" s="13" t="str">
        <x:v>未做</x:v>
      </x:c>
      <x:c r="Q25" s="13" t="str">
        <x:v>未做</x:v>
      </x:c>
      <x:c r="R25" s="13" t="str"/>
      <x:c r="S25" s="14" t="str"/>
      <x:c r="T25" s="18"/>
      <x:c r="U25" s="2" t="str">
        <x:f>IF(M25&lt;&gt;"完成","未通过",IF(O25="","缺证据位置",IF(P25&lt;&gt;"通过","待闭卷复述",IF(Q25&lt;&gt;"通过","待变式核验",IF(V25&lt;&gt;"达标",V25,IF(U24&lt;&gt;"通过","前置未通过","通过"))))))</x:f>
        <x:v>未通过</x:v>
      </x:c>
      <x:c r="V25" s="2" t="str">
        <x:f>IF(R25="","待填证据等级",IF(MATCH(R25,'项目规格与资料'!$B$40:$B$44,0)&gt;=MATCH(K25,'项目规格与资料'!$B$40:$B$44,0),"达标","证据不足"))</x:f>
        <x:v>待填证据等级</x:v>
      </x:c>
    </x:row>
    <x:row r="26" ht="64" customHeight="1">
      <x:c r="A26" s="2" t="n">
        <x:v>20</x:v>
      </x:c>
      <x:c r="B26" s="9" t="str">
        <x:v>S04-02</x:v>
      </x:c>
      <x:c r="C26" s="9" t="str">
        <x:v>S04</x:v>
      </x:c>
      <x:c r="D26" s="10" t="str">
        <x:v>解释ir、im和传能电流</x:v>
      </x:c>
      <x:c r="E26" s="10" t="str">
        <x:v>ip=ir−im、瞬时值与整流</x:v>
      </x:c>
      <x:c r="F26" s="10" t="str">
        <x:v>在稳态截取一周期ir/im/ip；标方向和相交点；只解释观察到的区间。</x:v>
      </x:c>
      <x:c r="G26" s="10" t="str">
        <x:v>自己的周期标注；能指出副边传能结束需哪些证据。</x:v>
      </x:c>
      <x:c r="H26" s="10" t="str">
        <x:v>ir非零而ip=0时，能量一定继续到输出吗？</x:v>
      </x:c>
      <x:c r="I26" s="16" t="n">
        <x:v>50</x:v>
      </x:c>
      <x:c r="J26" s="10" t="str">
        <x:v>S04-01</x:v>
      </x:c>
      <x:c r="K26" s="10" t="str">
        <x:v>B</x:v>
      </x:c>
      <x:c r="L26" s="10" t="str">
        <x:v>R04 §3</x:v>
      </x:c>
      <x:c r="M26" s="13" t="str">
        <x:v>未开始</x:v>
      </x:c>
      <x:c r="N26" s="17"/>
      <x:c r="O26" s="14" t="str"/>
      <x:c r="P26" s="13" t="str">
        <x:v>未做</x:v>
      </x:c>
      <x:c r="Q26" s="13" t="str">
        <x:v>未做</x:v>
      </x:c>
      <x:c r="R26" s="13" t="str"/>
      <x:c r="S26" s="14" t="str"/>
      <x:c r="T26" s="18"/>
      <x:c r="U26" s="9" t="str">
        <x:f>IF(M26&lt;&gt;"完成","未通过",IF(O26="","缺证据位置",IF(P26&lt;&gt;"通过","待闭卷复述",IF(Q26&lt;&gt;"通过","待变式核验",IF(V26&lt;&gt;"达标",V26,IF(U25&lt;&gt;"通过","前置未通过","通过"))))))</x:f>
        <x:v>未通过</x:v>
      </x:c>
      <x:c r="V26" s="9" t="str">
        <x:f>IF(R26="","待填证据等级",IF(MATCH(R26,'项目规格与资料'!$B$40:$B$44,0)&gt;=MATCH(K26,'项目规格与资料'!$B$40:$B$44,0),"达标","证据不足"))</x:f>
        <x:v>待填证据等级</x:v>
      </x:c>
    </x:row>
    <x:row r="27" ht="64" customHeight="1">
      <x:c r="A27" s="2" t="n">
        <x:v>21</x:v>
      </x:c>
      <x:c r="B27" s="2" t="str">
        <x:v>S04-03</x:v>
      </x:c>
      <x:c r="C27" s="2" t="str">
        <x:v>S04</x:v>
      </x:c>
      <x:c r="D27" s="8" t="str">
        <x:v>辨认实际副边整流路径</x:v>
      </x:c>
      <x:c r="E27" s="8" t="str">
        <x:v>绕组极性、二极管与体二极管</x:v>
      </x:c>
      <x:c r="F27" s="8" t="str">
        <x:v>核对副边接法；SR关闭时确认模型保留正确二极管路径；标正负半周期电流。</x:v>
      </x:c>
      <x:c r="G27" s="8" t="str">
        <x:v>两条实际路径；若器件模型缺路径则先标缺口。</x:v>
      </x:c>
      <x:c r="H27" s="8" t="str">
        <x:v>不能按原边门极直接决定所有副边导通段的原因？</x:v>
      </x:c>
      <x:c r="I27" s="15" t="n">
        <x:v>50</x:v>
      </x:c>
      <x:c r="J27" s="8" t="str">
        <x:v>S04-02</x:v>
      </x:c>
      <x:c r="K27" s="8" t="str">
        <x:v>B</x:v>
      </x:c>
      <x:c r="L27" s="8" t="str">
        <x:v>R04 §3、§13</x:v>
      </x:c>
      <x:c r="M27" s="13" t="str">
        <x:v>未开始</x:v>
      </x:c>
      <x:c r="N27" s="17"/>
      <x:c r="O27" s="14" t="str"/>
      <x:c r="P27" s="13" t="str">
        <x:v>未做</x:v>
      </x:c>
      <x:c r="Q27" s="13" t="str">
        <x:v>未做</x:v>
      </x:c>
      <x:c r="R27" s="13" t="str"/>
      <x:c r="S27" s="14" t="str"/>
      <x:c r="T27" s="18"/>
      <x:c r="U27" s="2" t="str">
        <x:f>IF(M27&lt;&gt;"完成","未通过",IF(O27="","缺证据位置",IF(P27&lt;&gt;"通过","待闭卷复述",IF(Q27&lt;&gt;"通过","待变式核验",IF(V27&lt;&gt;"达标",V27,IF(U26&lt;&gt;"通过","前置未通过","通过"))))))</x:f>
        <x:v>未通过</x:v>
      </x:c>
      <x:c r="V27" s="2" t="str">
        <x:f>IF(R27="","待填证据等级",IF(MATCH(R27,'项目规格与资料'!$B$40:$B$44,0)&gt;=MATCH(K27,'项目规格与资料'!$B$40:$B$44,0),"达标","证据不足"))</x:f>
        <x:v>待填证据等级</x:v>
      </x:c>
    </x:row>
    <x:row r="28" ht="64" customHeight="1">
      <x:c r="A28" s="2" t="n">
        <x:v>22</x:v>
      </x:c>
      <x:c r="B28" s="9" t="str">
        <x:v>S04-04</x:v>
      </x:c>
      <x:c r="C28" s="9" t="str">
        <x:v>S04</x:v>
      </x:c>
      <x:c r="D28" s="10" t="str">
        <x:v>计算谐振特征</x:v>
      </x:c>
      <x:c r="E28" s="10" t="str">
        <x:v>fr、fp、m、Q、n定义</x:v>
      </x:c>
      <x:c r="F28" s="10" t="str">
        <x:v>从当前模型读值，算fr/fp与Lm/Lr；对照教学定义；负载折算确认接法。</x:v>
      </x:c>
      <x:c r="G28" s="10" t="str">
        <x:v>可复算表；模型值与实物值分开；不把fp当fmin。</x:v>
      </x:c>
      <x:c r="H28" s="10" t="str">
        <x:v>Lr和Cr同时翻倍，fr如何变化？</x:v>
      </x:c>
      <x:c r="I28" s="16" t="n">
        <x:v>50</x:v>
      </x:c>
      <x:c r="J28" s="10" t="str">
        <x:v>S04-03</x:v>
      </x:c>
      <x:c r="K28" s="10" t="str">
        <x:v>B</x:v>
      </x:c>
      <x:c r="L28" s="10" t="str">
        <x:v>R04 §4</x:v>
      </x:c>
      <x:c r="M28" s="13" t="str">
        <x:v>未开始</x:v>
      </x:c>
      <x:c r="N28" s="17"/>
      <x:c r="O28" s="14" t="str"/>
      <x:c r="P28" s="13" t="str">
        <x:v>未做</x:v>
      </x:c>
      <x:c r="Q28" s="13" t="str">
        <x:v>未做</x:v>
      </x:c>
      <x:c r="R28" s="13" t="str"/>
      <x:c r="S28" s="14" t="str"/>
      <x:c r="T28" s="18"/>
      <x:c r="U28" s="9" t="str">
        <x:f>IF(M28&lt;&gt;"完成","未通过",IF(O28="","缺证据位置",IF(P28&lt;&gt;"通过","待闭卷复述",IF(Q28&lt;&gt;"通过","待变式核验",IF(V28&lt;&gt;"达标",V28,IF(U27&lt;&gt;"通过","前置未通过","通过"))))))</x:f>
        <x:v>未通过</x:v>
      </x:c>
      <x:c r="V28" s="9" t="str">
        <x:f>IF(R28="","待填证据等级",IF(MATCH(R28,'项目规格与资料'!$B$40:$B$44,0)&gt;=MATCH(K28,'项目规格与资料'!$B$40:$B$44,0),"达标","证据不足"))</x:f>
        <x:v>待填证据等级</x:v>
      </x:c>
    </x:row>
    <x:row r="29" ht="64" customHeight="1">
      <x:c r="A29" s="2" t="n">
        <x:v>23</x:v>
      </x:c>
      <x:c r="B29" s="2" t="str">
        <x:v>S04-05</x:v>
      </x:c>
      <x:c r="C29" s="2" t="str">
        <x:v>S04</x:v>
      </x:c>
      <x:c r="D29" s="8" t="str">
        <x:v>读一张有条件的FHA曲线</x:v>
      </x:c>
      <x:c r="E29" s="8" t="str">
        <x:v>基波近似、阻抗、增益与工作区</x:v>
      </x:c>
      <x:c r="F29" s="8" t="str">
        <x:v>按讲义统一定义算fr附近两点；同时检查Zin相位；写近似假设。</x:v>
      </x:c>
      <x:c r="G29" s="8" t="str">
        <x:v>一张数值/曲线对照及限制；不把FHA当启动或闭环模型。</x:v>
      </x:c>
      <x:c r="H29" s="8" t="str">
        <x:v>增益大是否自动代表感性区和ZVS？</x:v>
      </x:c>
      <x:c r="I29" s="15" t="n">
        <x:v>75</x:v>
      </x:c>
      <x:c r="J29" s="8" t="str">
        <x:v>S04-04</x:v>
      </x:c>
      <x:c r="K29" s="8" t="str">
        <x:v>B</x:v>
      </x:c>
      <x:c r="L29" s="8" t="str">
        <x:v>R04 §5–7</x:v>
      </x:c>
      <x:c r="M29" s="13" t="str">
        <x:v>未开始</x:v>
      </x:c>
      <x:c r="N29" s="17"/>
      <x:c r="O29" s="14" t="str"/>
      <x:c r="P29" s="13" t="str">
        <x:v>未做</x:v>
      </x:c>
      <x:c r="Q29" s="13" t="str">
        <x:v>未做</x:v>
      </x:c>
      <x:c r="R29" s="13" t="str"/>
      <x:c r="S29" s="14" t="str"/>
      <x:c r="T29" s="18"/>
      <x:c r="U29" s="2" t="str">
        <x:f>IF(M29&lt;&gt;"完成","未通过",IF(O29="","缺证据位置",IF(P29&lt;&gt;"通过","待闭卷复述",IF(Q29&lt;&gt;"通过","待变式核验",IF(V29&lt;&gt;"达标",V29,IF(U28&lt;&gt;"通过","前置未通过","通过"))))))</x:f>
        <x:v>未通过</x:v>
      </x:c>
      <x:c r="V29" s="2" t="str">
        <x:f>IF(R29="","待填证据等级",IF(MATCH(R29,'项目规格与资料'!$B$40:$B$44,0)&gt;=MATCH(K29,'项目规格与资料'!$B$40:$B$44,0),"达标","证据不足"))</x:f>
        <x:v>待填证据等级</x:v>
      </x:c>
    </x:row>
    <x:row r="30" ht="64" customHeight="1">
      <x:c r="A30" s="2" t="n">
        <x:v>24</x:v>
      </x:c>
      <x:c r="B30" s="9" t="str">
        <x:v>S04-06</x:v>
      </x:c>
      <x:c r="C30" s="9" t="str">
        <x:v>S04</x:v>
      </x:c>
      <x:c r="D30" s="10" t="str">
        <x:v>做一个邻近开环对照</x:v>
      </x:c>
      <x:c r="E30" s="10" t="str">
        <x:v>控制量、负载与静态灵敏度</x:v>
      </x:c>
      <x:c r="F30" s="10" t="str">
        <x:v>在模型现有有效范围内选两个邻近频率或脉宽点；只改一个量；保存稳态数据。</x:v>
      </x:c>
      <x:c r="G30" s="10" t="str">
        <x:v>输入、输出变化和方向有证据；理想电池钳位效应单独解释。</x:v>
      </x:c>
      <x:c r="H30" s="10" t="str">
        <x:v>输出电压被电池钳住时，应再看哪个量判断传能变化？</x:v>
      </x:c>
      <x:c r="I30" s="16" t="n">
        <x:v>75</x:v>
      </x:c>
      <x:c r="J30" s="10" t="str">
        <x:v>S04-05</x:v>
      </x:c>
      <x:c r="K30" s="10" t="str">
        <x:v>B</x:v>
      </x:c>
      <x:c r="L30" s="10" t="str">
        <x:v>R03 T03；R04 §17</x:v>
      </x:c>
      <x:c r="M30" s="13" t="str">
        <x:v>未开始</x:v>
      </x:c>
      <x:c r="N30" s="17"/>
      <x:c r="O30" s="14" t="str"/>
      <x:c r="P30" s="13" t="str">
        <x:v>未做</x:v>
      </x:c>
      <x:c r="Q30" s="13" t="str">
        <x:v>未做</x:v>
      </x:c>
      <x:c r="R30" s="13" t="str"/>
      <x:c r="S30" s="14" t="str"/>
      <x:c r="T30" s="18"/>
      <x:c r="U30" s="9" t="str">
        <x:f>IF(M30&lt;&gt;"完成","未通过",IF(O30="","缺证据位置",IF(P30&lt;&gt;"通过","待闭卷复述",IF(Q30&lt;&gt;"通过","待变式核验",IF(V30&lt;&gt;"达标",V30,IF(U29&lt;&gt;"通过","前置未通过","通过"))))))</x:f>
        <x:v>未通过</x:v>
      </x:c>
      <x:c r="V30" s="9" t="str">
        <x:f>IF(R30="","待填证据等级",IF(MATCH(R30,'项目规格与资料'!$B$40:$B$44,0)&gt;=MATCH(K30,'项目规格与资料'!$B$40:$B$44,0),"达标","证据不足"))</x:f>
        <x:v>待填证据等级</x:v>
      </x:c>
    </x:row>
    <x:row r="31" ht="64" customHeight="1">
      <x:c r="A31" s="2" t="n">
        <x:v>25</x:v>
      </x:c>
      <x:c r="B31" s="2" t="str">
        <x:v>S04-07</x:v>
      </x:c>
      <x:c r="C31" s="2" t="str">
        <x:v>S04</x:v>
      </x:c>
      <x:c r="D31" s="8" t="str">
        <x:v>识别ZVS的证据边界</x:v>
      </x:c>
      <x:c r="E31" s="8" t="str">
        <x:v>Coss换流、电流方向、死区电荷</x:v>
      </x:c>
      <x:c r="F31" s="8" t="str">
        <x:v>对照Vds/Vgs/ir与SW；核对是否建器件电容；列真实ZVS还缺什么。</x:v>
      </x:c>
      <x:c r="G31" s="8" t="str">
        <x:v>能区分设置死区与实际完成换流；无Coss模型不声称验证ZVS。</x:v>
      </x:c>
      <x:c r="H31" s="8" t="str">
        <x:v>轻载、高频时为何可能有死区仍失去ZVS？</x:v>
      </x:c>
      <x:c r="I31" s="15" t="n">
        <x:v>50</x:v>
      </x:c>
      <x:c r="J31" s="8" t="str">
        <x:v>S04-06</x:v>
      </x:c>
      <x:c r="K31" s="8" t="str">
        <x:v>B</x:v>
      </x:c>
      <x:c r="L31" s="8" t="str">
        <x:v>R04 §7；R02 §2.3</x:v>
      </x:c>
      <x:c r="M31" s="13" t="str">
        <x:v>未开始</x:v>
      </x:c>
      <x:c r="N31" s="17"/>
      <x:c r="O31" s="14" t="str"/>
      <x:c r="P31" s="13" t="str">
        <x:v>未做</x:v>
      </x:c>
      <x:c r="Q31" s="13" t="str">
        <x:v>未做</x:v>
      </x:c>
      <x:c r="R31" s="13" t="str"/>
      <x:c r="S31" s="14" t="str"/>
      <x:c r="T31" s="18"/>
      <x:c r="U31" s="2" t="str">
        <x:f>IF(M31&lt;&gt;"完成","未通过",IF(O31="","缺证据位置",IF(P31&lt;&gt;"通过","待闭卷复述",IF(Q31&lt;&gt;"通过","待变式核验",IF(V31&lt;&gt;"达标",V31,IF(U30&lt;&gt;"通过","前置未通过","通过"))))))</x:f>
        <x:v>未通过</x:v>
      </x:c>
      <x:c r="V31" s="2" t="str">
        <x:f>IF(R31="","待填证据等级",IF(MATCH(R31,'项目规格与资料'!$B$40:$B$44,0)&gt;=MATCH(K31,'项目规格与资料'!$B$40:$B$44,0),"达标","证据不足"))</x:f>
        <x:v>待填证据等级</x:v>
      </x:c>
    </x:row>
    <x:row r="32" ht="64" customHeight="1">
      <x:c r="A32" s="2" t="n">
        <x:v>26</x:v>
      </x:c>
      <x:c r="B32" s="9" t="str">
        <x:v>S05-01</x:v>
      </x:c>
      <x:c r="C32" s="9" t="str">
        <x:v>S05</x:v>
      </x:c>
      <x:c r="D32" s="10" t="str">
        <x:v>追一条采样电路</x:v>
      </x:c>
      <x:c r="E32" s="10" t="str">
        <x:v>传感器、分压/放大、ADC量程</x:v>
      </x:c>
      <x:c r="F32" s="10" t="str">
        <x:v>选Ibat或Vo；从图到引脚和变量；列ADC基准、增益、零点未知项。</x:v>
      </x:c>
      <x:c r="G32" s="10" t="str">
        <x:v>一张信号链和量程依据；不猜器件参数。</x:v>
      </x:c>
      <x:c r="H32" s="10" t="str">
        <x:v>ADC码不变，是否表示没有新采样？</x:v>
      </x:c>
      <x:c r="I32" s="16" t="n">
        <x:v>50</x:v>
      </x:c>
      <x:c r="J32" s="10" t="str">
        <x:v>S04-07</x:v>
      </x:c>
      <x:c r="K32" s="10" t="str">
        <x:v>A</x:v>
      </x:c>
      <x:c r="L32" s="10" t="str">
        <x:v>R04 §8；R11</x:v>
      </x:c>
      <x:c r="M32" s="13" t="str">
        <x:v>未开始</x:v>
      </x:c>
      <x:c r="N32" s="17"/>
      <x:c r="O32" s="14" t="str"/>
      <x:c r="P32" s="13" t="str">
        <x:v>未做</x:v>
      </x:c>
      <x:c r="Q32" s="13" t="str">
        <x:v>未做</x:v>
      </x:c>
      <x:c r="R32" s="13" t="str"/>
      <x:c r="S32" s="14" t="str"/>
      <x:c r="T32" s="18"/>
      <x:c r="U32" s="9" t="str">
        <x:f>IF(M32&lt;&gt;"完成","未通过",IF(O32="","缺证据位置",IF(P32&lt;&gt;"通过","待闭卷复述",IF(Q32&lt;&gt;"通过","待变式核验",IF(V32&lt;&gt;"达标",V32,IF(U31&lt;&gt;"通过","前置未通过","通过"))))))</x:f>
        <x:v>未通过</x:v>
      </x:c>
      <x:c r="V32" s="9" t="str">
        <x:f>IF(R32="","待填证据等级",IF(MATCH(R32,'项目规格与资料'!$B$40:$B$44,0)&gt;=MATCH(K32,'项目规格与资料'!$B$40:$B$44,0),"达标","证据不足"))</x:f>
        <x:v>待填证据等级</x:v>
      </x:c>
    </x:row>
    <x:row r="33" ht="64" customHeight="1">
      <x:c r="A33" s="2" t="n">
        <x:v>27</x:v>
      </x:c>
      <x:c r="B33" s="2" t="str">
        <x:v>S05-02</x:v>
      </x:c>
      <x:c r="C33" s="2" t="str">
        <x:v>S05</x:v>
      </x:c>
      <x:c r="D33" s="8" t="str">
        <x:v>核对换算与有效性</x:v>
      </x:c>
      <x:c r="E33" s="8" t="str">
        <x:v>量纲、符号、饱和、无效数据</x:v>
      </x:c>
      <x:c r="F33" s="8" t="str">
        <x:v>抽一条实际换算；手算正常/端点；PC检查越界或无效输入行为。</x:v>
      </x:c>
      <x:c r="G33" s="8" t="str">
        <x:v>正常与边界计算；输入单位与DLL物理量接口不混淆。</x:v>
      </x:c>
      <x:c r="H33" s="8" t="str">
        <x:v>无效采样能否直接当作真实0V或0A？</x:v>
      </x:c>
      <x:c r="I33" s="15" t="n">
        <x:v>50</x:v>
      </x:c>
      <x:c r="J33" s="8" t="str">
        <x:v>S05-01</x:v>
      </x:c>
      <x:c r="K33" s="8" t="str">
        <x:v>B</x:v>
      </x:c>
      <x:c r="L33" s="8" t="str">
        <x:v>R11；R09；R04 §8</x:v>
      </x:c>
      <x:c r="M33" s="13" t="str">
        <x:v>未开始</x:v>
      </x:c>
      <x:c r="N33" s="17"/>
      <x:c r="O33" s="14" t="str"/>
      <x:c r="P33" s="13" t="str">
        <x:v>未做</x:v>
      </x:c>
      <x:c r="Q33" s="13" t="str">
        <x:v>未做</x:v>
      </x:c>
      <x:c r="R33" s="13" t="str"/>
      <x:c r="S33" s="14" t="str"/>
      <x:c r="T33" s="18"/>
      <x:c r="U33" s="2" t="str">
        <x:f>IF(M33&lt;&gt;"完成","未通过",IF(O33="","缺证据位置",IF(P33&lt;&gt;"通过","待闭卷复述",IF(Q33&lt;&gt;"通过","待变式核验",IF(V33&lt;&gt;"达标",V33,IF(U32&lt;&gt;"通过","前置未通过","通过"))))))</x:f>
        <x:v>未通过</x:v>
      </x:c>
      <x:c r="V33" s="2" t="str">
        <x:f>IF(R33="","待填证据等级",IF(MATCH(R33,'项目规格与资料'!$B$40:$B$44,0)&gt;=MATCH(K33,'项目规格与资料'!$B$40:$B$44,0),"达标","证据不足"))</x:f>
        <x:v>待填证据等级</x:v>
      </x:c>
    </x:row>
    <x:row r="34" ht="64" customHeight="1">
      <x:c r="A34" s="2" t="n">
        <x:v>28</x:v>
      </x:c>
      <x:c r="B34" s="9" t="str">
        <x:v>S05-03</x:v>
      </x:c>
      <x:c r="C34" s="9" t="str">
        <x:v>S05</x:v>
      </x:c>
      <x:c r="D34" s="10" t="str">
        <x:v>量化滤波延迟</x:v>
      </x:c>
      <x:c r="E34" s="10" t="str">
        <x:v>一阶滤波、时间常数、阶跃响应</x:v>
      </x:c>
      <x:c r="F34" s="10" t="str">
        <x:v>选0.999/0.001等实际滤波；由Ts算时间常数；跑阶跃并看门限延迟。</x:v>
      </x:c>
      <x:c r="G34" s="10" t="str">
        <x:v>计算与序列响应对照；Ts来源明确。</x:v>
      </x:c>
      <x:c r="H34" s="10" t="str">
        <x:v>20拍条件计数与25ms滤波时间常数是否同一件事？</x:v>
      </x:c>
      <x:c r="I34" s="16" t="n">
        <x:v>50</x:v>
      </x:c>
      <x:c r="J34" s="10" t="str">
        <x:v>S05-02</x:v>
      </x:c>
      <x:c r="K34" s="10" t="str">
        <x:v>B</x:v>
      </x:c>
      <x:c r="L34" s="10" t="str">
        <x:v>R07 SampleLpfHandle；R02 §7.4</x:v>
      </x:c>
      <x:c r="M34" s="13" t="str">
        <x:v>未开始</x:v>
      </x:c>
      <x:c r="N34" s="17"/>
      <x:c r="O34" s="14" t="str"/>
      <x:c r="P34" s="13" t="str">
        <x:v>未做</x:v>
      </x:c>
      <x:c r="Q34" s="13" t="str">
        <x:v>未做</x:v>
      </x:c>
      <x:c r="R34" s="13" t="str"/>
      <x:c r="S34" s="14" t="str"/>
      <x:c r="T34" s="18"/>
      <x:c r="U34" s="9" t="str">
        <x:f>IF(M34&lt;&gt;"完成","未通过",IF(O34="","缺证据位置",IF(P34&lt;&gt;"通过","待闭卷复述",IF(Q34&lt;&gt;"通过","待变式核验",IF(V34&lt;&gt;"达标",V34,IF(U33&lt;&gt;"通过","前置未通过","通过"))))))</x:f>
        <x:v>未通过</x:v>
      </x:c>
      <x:c r="V34" s="9" t="str">
        <x:f>IF(R34="","待填证据等级",IF(MATCH(R34,'项目规格与资料'!$B$40:$B$44,0)&gt;=MATCH(K34,'项目规格与资料'!$B$40:$B$44,0),"达标","证据不足"))</x:f>
        <x:v>待填证据等级</x:v>
      </x:c>
    </x:row>
    <x:row r="35" ht="64" customHeight="1">
      <x:c r="A35" s="2" t="n">
        <x:v>29</x:v>
      </x:c>
      <x:c r="B35" s="2" t="str">
        <x:v>S05-04</x:v>
      </x:c>
      <x:c r="C35" s="2" t="str">
        <x:v>S05</x:v>
      </x:c>
      <x:c r="D35" s="8" t="str">
        <x:v>还原快慢任务时间轴</x:v>
      </x:c>
      <x:c r="E35" s="8" t="str">
        <x:v>中断、分频、控制周期、DLL调用</x:v>
      </x:c>
      <x:c r="F35" s="8" t="str">
        <x:v>分别画MCU与DLL采样到输出路径；核对25μs/1ms/5ms来源，不从变量名推断。</x:v>
      </x:c>
      <x:c r="G35" s="8" t="str">
        <x:v>两张或一张对照时间轴；未知实际执行时间单独列出。</x:v>
      </x:c>
      <x:c r="H35" s="8" t="str">
        <x:v>变开关频率是否必然改变控制更新周期？</x:v>
      </x:c>
      <x:c r="I35" s="15" t="n">
        <x:v>50</x:v>
      </x:c>
      <x:c r="J35" s="8" t="str">
        <x:v>S05-03</x:v>
      </x:c>
      <x:c r="K35" s="8" t="str">
        <x:v>A</x:v>
      </x:c>
      <x:c r="L35" s="8" t="str">
        <x:v>R11 HandleFast；R08；R09</x:v>
      </x:c>
      <x:c r="M35" s="13" t="str">
        <x:v>未开始</x:v>
      </x:c>
      <x:c r="N35" s="17"/>
      <x:c r="O35" s="14" t="str"/>
      <x:c r="P35" s="13" t="str">
        <x:v>未做</x:v>
      </x:c>
      <x:c r="Q35" s="13" t="str">
        <x:v>未做</x:v>
      </x:c>
      <x:c r="R35" s="13" t="str"/>
      <x:c r="S35" s="14" t="str"/>
      <x:c r="T35" s="18"/>
      <x:c r="U35" s="2" t="str">
        <x:f>IF(M35&lt;&gt;"完成","未通过",IF(O35="","缺证据位置",IF(P35&lt;&gt;"通过","待闭卷复述",IF(Q35&lt;&gt;"通过","待变式核验",IF(V35&lt;&gt;"达标",V35,IF(U34&lt;&gt;"通过","前置未通过","通过"))))))</x:f>
        <x:v>未通过</x:v>
      </x:c>
      <x:c r="V35" s="2" t="str">
        <x:f>IF(R35="","待填证据等级",IF(MATCH(R35,'项目规格与资料'!$B$40:$B$44,0)&gt;=MATCH(K35,'项目规格与资料'!$B$40:$B$44,0),"达标","证据不足"))</x:f>
        <x:v>待填证据等级</x:v>
      </x:c>
    </x:row>
    <x:row r="36" ht="64" customHeight="1">
      <x:c r="A36" s="2" t="n">
        <x:v>30</x:v>
      </x:c>
      <x:c r="B36" s="9" t="str">
        <x:v>S05-05</x:v>
      </x:c>
      <x:c r="C36" s="9" t="str">
        <x:v>S05</x:v>
      </x:c>
      <x:c r="D36" s="10" t="str">
        <x:v>识别共享数据一致性</x:v>
      </x:c>
      <x:c r="E36" s="10" t="str">
        <x:v>快照、写入者、命令更新</x:v>
      </x:c>
      <x:c r="F36" s="10" t="str">
        <x:v>追一个慢环到快环请求；列谁写、谁读、何时有效；设计半更新/过期检查。</x:v>
      </x:c>
      <x:c r="G36" s="10" t="str">
        <x:v>一个可复现PC输入序列或一致性检查；不高速打印堵住快环。</x:v>
      </x:c>
      <x:c r="H36" s="10" t="str">
        <x:v>新目标配旧限值能否产生与完整请求不同的动作？</x:v>
      </x:c>
      <x:c r="I36" s="16" t="n">
        <x:v>50</x:v>
      </x:c>
      <x:c r="J36" s="10" t="str">
        <x:v>S05-04</x:v>
      </x:c>
      <x:c r="K36" s="10" t="str">
        <x:v>B</x:v>
      </x:c>
      <x:c r="L36" s="10" t="str">
        <x:v>R09；R06 P1；R04 §16</x:v>
      </x:c>
      <x:c r="M36" s="13" t="str">
        <x:v>未开始</x:v>
      </x:c>
      <x:c r="N36" s="17"/>
      <x:c r="O36" s="14" t="str"/>
      <x:c r="P36" s="13" t="str">
        <x:v>未做</x:v>
      </x:c>
      <x:c r="Q36" s="13" t="str">
        <x:v>未做</x:v>
      </x:c>
      <x:c r="R36" s="13" t="str"/>
      <x:c r="S36" s="14" t="str"/>
      <x:c r="T36" s="18"/>
      <x:c r="U36" s="9" t="str">
        <x:f>IF(M36&lt;&gt;"完成","未通过",IF(O36="","缺证据位置",IF(P36&lt;&gt;"通过","待闭卷复述",IF(Q36&lt;&gt;"通过","待变式核验",IF(V36&lt;&gt;"达标",V36,IF(U35&lt;&gt;"通过","前置未通过","通过"))))))</x:f>
        <x:v>未通过</x:v>
      </x:c>
      <x:c r="V36" s="9" t="str">
        <x:f>IF(R36="","待填证据等级",IF(MATCH(R36,'项目规格与资料'!$B$40:$B$44,0)&gt;=MATCH(K36,'项目规格与资料'!$B$40:$B$44,0),"达标","证据不足"))</x:f>
        <x:v>待填证据等级</x:v>
      </x:c>
    </x:row>
    <x:row r="37" ht="64" customHeight="1">
      <x:c r="A37" s="2" t="n">
        <x:v>31</x:v>
      </x:c>
      <x:c r="B37" s="2" t="str">
        <x:v>S05-06</x:v>
      </x:c>
      <x:c r="C37" s="2" t="str">
        <x:v>S05</x:v>
      </x:c>
      <x:c r="D37" s="8" t="str">
        <x:v>核对时序约束与输出权</x:v>
      </x:c>
      <x:c r="E37" s="8" t="str">
        <x:v>最小周期、比较边界、保护优先级</x:v>
      </x:c>
      <x:c r="F37" s="8" t="str">
        <x:v>对最短/最长合法周期做边沿检查；核对谁最终写PWM；测试非法配置被拒绝的规定行为。</x:v>
      </x:c>
      <x:c r="G37" s="8" t="str">
        <x:v>一组合法/非法时序检查；若现有实现缺校验则记缺口。</x:v>
      </x:c>
      <x:c r="H37" s="8" t="str">
        <x:v>故障与新PWM同拍到达，哪个动作必须优先？</x:v>
      </x:c>
      <x:c r="I37" s="15" t="n">
        <x:v>50</x:v>
      </x:c>
      <x:c r="J37" s="8" t="str">
        <x:v>S05-05</x:v>
      </x:c>
      <x:c r="K37" s="8" t="str">
        <x:v>B</x:v>
      </x:c>
      <x:c r="L37" s="8" t="str">
        <x:v>R08 SHRTIMERdrive；R10；R04 §9</x:v>
      </x:c>
      <x:c r="M37" s="13" t="str">
        <x:v>未开始</x:v>
      </x:c>
      <x:c r="N37" s="17"/>
      <x:c r="O37" s="14" t="str"/>
      <x:c r="P37" s="13" t="str">
        <x:v>未做</x:v>
      </x:c>
      <x:c r="Q37" s="13" t="str">
        <x:v>未做</x:v>
      </x:c>
      <x:c r="R37" s="13" t="str"/>
      <x:c r="S37" s="14" t="str"/>
      <x:c r="T37" s="18"/>
      <x:c r="U37" s="2" t="str">
        <x:f>IF(M37&lt;&gt;"完成","未通过",IF(O37="","缺证据位置",IF(P37&lt;&gt;"通过","待闭卷复述",IF(Q37&lt;&gt;"通过","待变式核验",IF(V37&lt;&gt;"达标",V37,IF(U36&lt;&gt;"通过","前置未通过","通过"))))))</x:f>
        <x:v>未通过</x:v>
      </x:c>
      <x:c r="V37" s="2" t="str">
        <x:f>IF(R37="","待填证据等级",IF(MATCH(R37,'项目规格与资料'!$B$40:$B$44,0)&gt;=MATCH(K37,'项目规格与资料'!$B$40:$B$44,0),"达标","证据不足"))</x:f>
        <x:v>待填证据等级</x:v>
      </x:c>
    </x:row>
    <x:row r="38" ht="64" customHeight="1">
      <x:c r="A38" s="2" t="n">
        <x:v>32</x:v>
      </x:c>
      <x:c r="B38" s="9" t="str">
        <x:v>S06-01</x:v>
      </x:c>
      <x:c r="C38" s="9" t="str">
        <x:v>S06</x:v>
      </x:c>
      <x:c r="D38" s="10" t="str">
        <x:v>理解SR收益与双向导电</x:v>
      </x:c>
      <x:c r="E38" s="10" t="str">
        <x:v>导通损耗、体二极管与MOSFET双向通路</x:v>
      </x:c>
      <x:c r="F38" s="10" t="str">
        <x:v>比较二极管与MOSFET导通模型；画一条正向与一条可能反向路径；限定实际接法。</x:v>
      </x:c>
      <x:c r="G38" s="10" t="str">
        <x:v>能解释何时减少损耗、何时错误导通放行反灌。</x:v>
      </x:c>
      <x:c r="H38" s="10" t="str">
        <x:v>为什么SR多开一点不总是更好？</x:v>
      </x:c>
      <x:c r="I38" s="16" t="n">
        <x:v>25</x:v>
      </x:c>
      <x:c r="J38" s="10" t="str">
        <x:v>S05-06</x:v>
      </x:c>
      <x:c r="K38" s="10" t="str">
        <x:v>B</x:v>
      </x:c>
      <x:c r="L38" s="10" t="str">
        <x:v>R04 §13.1</x:v>
      </x:c>
      <x:c r="M38" s="13" t="str">
        <x:v>未开始</x:v>
      </x:c>
      <x:c r="N38" s="17"/>
      <x:c r="O38" s="14" t="str"/>
      <x:c r="P38" s="13" t="str">
        <x:v>未做</x:v>
      </x:c>
      <x:c r="Q38" s="13" t="str">
        <x:v>未做</x:v>
      </x:c>
      <x:c r="R38" s="13" t="str"/>
      <x:c r="S38" s="14" t="str"/>
      <x:c r="T38" s="18"/>
      <x:c r="U38" s="9" t="str">
        <x:f>IF(M38&lt;&gt;"完成","未通过",IF(O38="","缺证据位置",IF(P38&lt;&gt;"通过","待闭卷复述",IF(Q38&lt;&gt;"通过","待变式核验",IF(V38&lt;&gt;"达标",V38,IF(U37&lt;&gt;"通过","前置未通过","通过"))))))</x:f>
        <x:v>未通过</x:v>
      </x:c>
      <x:c r="V38" s="9" t="str">
        <x:f>IF(R38="","待填证据等级",IF(MATCH(R38,'项目规格与资料'!$B$40:$B$44,0)&gt;=MATCH(K38,'项目规格与资料'!$B$40:$B$44,0),"达标","证据不足"))</x:f>
        <x:v>待填证据等级</x:v>
      </x:c>
    </x:row>
    <x:row r="39" ht="64" customHeight="1">
      <x:c r="A39" s="2" t="n">
        <x:v>33</x:v>
      </x:c>
      <x:c r="B39" s="2" t="str">
        <x:v>S06-02</x:v>
      </x:c>
      <x:c r="C39" s="2" t="str">
        <x:v>S06</x:v>
      </x:c>
      <x:c r="D39" s="8" t="str">
        <x:v>建立SR关闭的电流基线</x:v>
      </x:c>
      <x:c r="E39" s="8" t="str">
        <x:v>整流导通区与零电流附近</x:v>
      </x:c>
      <x:c r="F39" s="8" t="str">
        <x:v>先确认模型二极管路径；固定原边工况；保存副边电流/Vds及原边门极一周期。</x:v>
      </x:c>
      <x:c r="G39" s="8" t="str">
        <x:v>基线含极性和时间窗；SR关断下的损耗/能力仅限模型条件。</x:v>
      </x:c>
      <x:c r="H39" s="8" t="str">
        <x:v>SR关掉是否允许实机继续任意满载？</x:v>
      </x:c>
      <x:c r="I39" s="15" t="n">
        <x:v>50</x:v>
      </x:c>
      <x:c r="J39" s="8" t="str">
        <x:v>S06-01</x:v>
      </x:c>
      <x:c r="K39" s="8" t="str">
        <x:v>B</x:v>
      </x:c>
      <x:c r="L39" s="8" t="str">
        <x:v>R04 §13、§17</x:v>
      </x:c>
      <x:c r="M39" s="13" t="str">
        <x:v>未开始</x:v>
      </x:c>
      <x:c r="N39" s="17"/>
      <x:c r="O39" s="14" t="str"/>
      <x:c r="P39" s="13" t="str">
        <x:v>未做</x:v>
      </x:c>
      <x:c r="Q39" s="13" t="str">
        <x:v>未做</x:v>
      </x:c>
      <x:c r="R39" s="13" t="str"/>
      <x:c r="S39" s="14" t="str"/>
      <x:c r="T39" s="18"/>
      <x:c r="U39" s="2" t="str">
        <x:f>IF(M39&lt;&gt;"完成","未通过",IF(O39="","缺证据位置",IF(P39&lt;&gt;"通过","待闭卷复述",IF(Q39&lt;&gt;"通过","待变式核验",IF(V39&lt;&gt;"达标",V39,IF(U38&lt;&gt;"通过","前置未通过","通过"))))))</x:f>
        <x:v>未通过</x:v>
      </x:c>
      <x:c r="V39" s="2" t="str">
        <x:f>IF(R39="","待填证据等级",IF(MATCH(R39,'项目规格与资料'!$B$40:$B$44,0)&gt;=MATCH(K39,'项目规格与资料'!$B$40:$B$44,0),"达标","证据不足"))</x:f>
        <x:v>待填证据等级</x:v>
      </x:c>
    </x:row>
    <x:row r="40" ht="64" customHeight="1">
      <x:c r="A40" s="2" t="n">
        <x:v>34</x:v>
      </x:c>
      <x:c r="B40" s="9" t="str">
        <x:v>S06-03</x:v>
      </x:c>
      <x:c r="C40" s="9" t="str">
        <x:v>S06</x:v>
      </x:c>
      <x:c r="D40" s="10" t="str">
        <x:v>核算SR延迟预算</x:v>
      </x:c>
      <x:c r="E40" s="10" t="str">
        <x:v>检测、路由、PWM更新、驱动关断</x:v>
      </x:c>
      <x:c r="F40" s="10" t="str">
        <x:v>从实际实现列延迟链；未知值留空；用明确的教学延迟算例解释提前关断。</x:v>
      </x:c>
      <x:c r="G40" s="10" t="str">
        <x:v>延迟表含来源与不确定项；命令时刻与实际导通区分开。</x:v>
      </x:c>
      <x:c r="H40" s="10" t="str">
        <x:v>指令正好在电流零点关断，真实器件会发生什么？</x:v>
      </x:c>
      <x:c r="I40" s="16" t="n">
        <x:v>50</x:v>
      </x:c>
      <x:c r="J40" s="10" t="str">
        <x:v>S06-02</x:v>
      </x:c>
      <x:c r="K40" s="10" t="str">
        <x:v>B</x:v>
      </x:c>
      <x:c r="L40" s="10" t="str">
        <x:v>R04 §13.3</x:v>
      </x:c>
      <x:c r="M40" s="13" t="str">
        <x:v>未开始</x:v>
      </x:c>
      <x:c r="N40" s="17"/>
      <x:c r="O40" s="14" t="str"/>
      <x:c r="P40" s="13" t="str">
        <x:v>未做</x:v>
      </x:c>
      <x:c r="Q40" s="13" t="str">
        <x:v>未做</x:v>
      </x:c>
      <x:c r="R40" s="13" t="str"/>
      <x:c r="S40" s="14" t="str"/>
      <x:c r="T40" s="18"/>
      <x:c r="U40" s="9" t="str">
        <x:f>IF(M40&lt;&gt;"完成","未通过",IF(O40="","缺证据位置",IF(P40&lt;&gt;"通过","待闭卷复述",IF(Q40&lt;&gt;"通过","待变式核验",IF(V40&lt;&gt;"达标",V40,IF(U39&lt;&gt;"通过","前置未通过","通过"))))))</x:f>
        <x:v>未通过</x:v>
      </x:c>
      <x:c r="V40" s="9" t="str">
        <x:f>IF(R40="","待填证据等级",IF(MATCH(R40,'项目规格与资料'!$B$40:$B$44,0)&gt;=MATCH(K40,'项目规格与资料'!$B$40:$B$44,0),"达标","证据不足"))</x:f>
        <x:v>待填证据等级</x:v>
      </x:c>
    </x:row>
    <x:row r="41" ht="64" customHeight="1">
      <x:c r="A41" s="2" t="n">
        <x:v>35</x:v>
      </x:c>
      <x:c r="B41" s="2" t="str">
        <x:v>S06-04</x:v>
      </x:c>
      <x:c r="C41" s="2" t="str">
        <x:v>S06</x:v>
      </x:c>
      <x:c r="D41" s="8" t="str">
        <x:v>追PWM模式SR窗口</x:v>
      </x:c>
      <x:c r="E41" s="8" t="str">
        <x:v>许可、Sr_Atime、Sr_Dtime与滤波</x:v>
      </x:c>
      <x:c r="F41" s="8" t="str">
        <x:v>选模式5一个工况；追许可和Timer D窗口；比较硬件分支与DLL分支，不先假定完全一致。</x:v>
      </x:c>
      <x:c r="G41" s="8" t="str">
        <x:v>一张窗口数值表与代码分支对照；不一致记具体位置。</x:v>
      </x:c>
      <x:c r="H41" s="8" t="str">
        <x:v>平均电流满足许可，窗口仍过短时代码做什么？</x:v>
      </x:c>
      <x:c r="I41" s="15" t="n">
        <x:v>75</x:v>
      </x:c>
      <x:c r="J41" s="8" t="str">
        <x:v>S06-03</x:v>
      </x:c>
      <x:c r="K41" s="8" t="str">
        <x:v>B</x:v>
      </x:c>
      <x:c r="L41" s="8" t="str">
        <x:v>R07 PwmSyncDrvUpdate；R08；R12</x:v>
      </x:c>
      <x:c r="M41" s="13" t="str">
        <x:v>未开始</x:v>
      </x:c>
      <x:c r="N41" s="17"/>
      <x:c r="O41" s="14" t="str"/>
      <x:c r="P41" s="13" t="str">
        <x:v>未做</x:v>
      </x:c>
      <x:c r="Q41" s="13" t="str">
        <x:v>未做</x:v>
      </x:c>
      <x:c r="R41" s="13" t="str"/>
      <x:c r="S41" s="14" t="str"/>
      <x:c r="T41" s="18"/>
      <x:c r="U41" s="2" t="str">
        <x:f>IF(M41&lt;&gt;"完成","未通过",IF(O41="","缺证据位置",IF(P41&lt;&gt;"通过","待闭卷复述",IF(Q41&lt;&gt;"通过","待变式核验",IF(V41&lt;&gt;"达标",V41,IF(U40&lt;&gt;"通过","前置未通过","通过"))))))</x:f>
        <x:v>未通过</x:v>
      </x:c>
      <x:c r="V41" s="2" t="str">
        <x:f>IF(R41="","待填证据等级",IF(MATCH(R41,'项目规格与资料'!$B$40:$B$44,0)&gt;=MATCH(K41,'项目规格与资料'!$B$40:$B$44,0),"达标","证据不足"))</x:f>
        <x:v>待填证据等级</x:v>
      </x:c>
    </x:row>
    <x:row r="42" ht="64" customHeight="1">
      <x:c r="A42" s="2" t="n">
        <x:v>36</x:v>
      </x:c>
      <x:c r="B42" s="9" t="str">
        <x:v>S06-05</x:v>
      </x:c>
      <x:c r="C42" s="9" t="str">
        <x:v>S06</x:v>
      </x:c>
      <x:c r="D42" s="10" t="str">
        <x:v>追PFM模式SR查表</x:v>
      </x:c>
      <x:c r="E42" s="10" t="str">
        <x:v>频率/电流轴、选点、缩放和分支</x:v>
      </x:c>
      <x:c r="F42" s="10" t="str">
        <x:v>选模式7一个点；手工追Sr_compute与mathTimeHandle；核对102kHz附近不同处理。</x:v>
      </x:c>
      <x:c r="G42" s="10" t="str">
        <x:v>查表输入、索引、输出、单位和窗口均可追；表依据未知不编造。</x:v>
      </x:c>
      <x:c r="H42" s="10" t="str">
        <x:v>102kHz两侧是否能只沿用同一组SR边沿？</x:v>
      </x:c>
      <x:c r="I42" s="16" t="n">
        <x:v>75</x:v>
      </x:c>
      <x:c r="J42" s="10" t="str">
        <x:v>S06-04</x:v>
      </x:c>
      <x:c r="K42" s="10" t="str">
        <x:v>B</x:v>
      </x:c>
      <x:c r="L42" s="10" t="str">
        <x:v>R12 Sr_compute/mathTimeHandle；R08</x:v>
      </x:c>
      <x:c r="M42" s="13" t="str">
        <x:v>未开始</x:v>
      </x:c>
      <x:c r="N42" s="17"/>
      <x:c r="O42" s="14" t="str"/>
      <x:c r="P42" s="13" t="str">
        <x:v>未做</x:v>
      </x:c>
      <x:c r="Q42" s="13" t="str">
        <x:v>未做</x:v>
      </x:c>
      <x:c r="R42" s="13" t="str"/>
      <x:c r="S42" s="14" t="str"/>
      <x:c r="T42" s="18"/>
      <x:c r="U42" s="9" t="str">
        <x:f>IF(M42&lt;&gt;"完成","未通过",IF(O42="","缺证据位置",IF(P42&lt;&gt;"通过","待闭卷复述",IF(Q42&lt;&gt;"通过","待变式核验",IF(V42&lt;&gt;"达标",V42,IF(U41&lt;&gt;"通过","前置未通过","通过"))))))</x:f>
        <x:v>未通过</x:v>
      </x:c>
      <x:c r="V42" s="9" t="str">
        <x:f>IF(R42="","待填证据等级",IF(MATCH(R42,'项目规格与资料'!$B$40:$B$44,0)&gt;=MATCH(K42,'项目规格与资料'!$B$40:$B$44,0),"达标","证据不足"))</x:f>
        <x:v>待填证据等级</x:v>
      </x:c>
    </x:row>
    <x:row r="43" ht="64" customHeight="1">
      <x:c r="A43" s="2" t="n">
        <x:v>37</x:v>
      </x:c>
      <x:c r="B43" s="2" t="str">
        <x:v>S06-06</x:v>
      </x:c>
      <x:c r="C43" s="2" t="str">
        <x:v>S06</x:v>
      </x:c>
      <x:c r="D43" s="8" t="str">
        <x:v>核对SR许可与禁止</x:v>
      </x:c>
      <x:c r="E43" s="8" t="str">
        <x:v>滞回、滤波、最小窗口、停机优先级</x:v>
      </x:c>
      <x:c r="F43" s="8" t="str">
        <x:v>用PC/模型输入序列穿越电流门限；观察许可、计算窗口和最终门极；测试原边禁止。</x:v>
      </x:c>
      <x:c r="G43" s="8" t="str">
        <x:v>门限上下与停波序列记录；不能只看SynDrv一个变量。</x:v>
      </x:c>
      <x:c r="H43" s="8" t="str">
        <x:v>SynDrv=1是否证明两只SR实际导通且方向正确？</x:v>
      </x:c>
      <x:c r="I43" s="15" t="n">
        <x:v>50</x:v>
      </x:c>
      <x:c r="J43" s="8" t="str">
        <x:v>S06-05</x:v>
      </x:c>
      <x:c r="K43" s="8" t="str">
        <x:v>B</x:v>
      </x:c>
      <x:c r="L43" s="8" t="str">
        <x:v>R07；R12；R08</x:v>
      </x:c>
      <x:c r="M43" s="13" t="str">
        <x:v>未开始</x:v>
      </x:c>
      <x:c r="N43" s="17"/>
      <x:c r="O43" s="14" t="str"/>
      <x:c r="P43" s="13" t="str">
        <x:v>未做</x:v>
      </x:c>
      <x:c r="Q43" s="13" t="str">
        <x:v>未做</x:v>
      </x:c>
      <x:c r="R43" s="13" t="str"/>
      <x:c r="S43" s="14" t="str"/>
      <x:c r="T43" s="18"/>
      <x:c r="U43" s="2" t="str">
        <x:f>IF(M43&lt;&gt;"完成","未通过",IF(O43="","缺证据位置",IF(P43&lt;&gt;"通过","待闭卷复述",IF(Q43&lt;&gt;"通过","待变式核验",IF(V43&lt;&gt;"达标",V43,IF(U42&lt;&gt;"通过","前置未通过","通过"))))))</x:f>
        <x:v>未通过</x:v>
      </x:c>
      <x:c r="V43" s="2" t="str">
        <x:f>IF(R43="","待填证据等级",IF(MATCH(R43,'项目规格与资料'!$B$40:$B$44,0)&gt;=MATCH(K43,'项目规格与资料'!$B$40:$B$44,0),"达标","证据不足"))</x:f>
        <x:v>待填证据等级</x:v>
      </x:c>
    </x:row>
    <x:row r="44" ht="64" customHeight="1">
      <x:c r="A44" s="2" t="n">
        <x:v>38</x:v>
      </x:c>
      <x:c r="B44" s="9" t="str">
        <x:v>S06-07</x:v>
      </x:c>
      <x:c r="C44" s="9" t="str">
        <x:v>S06</x:v>
      </x:c>
      <x:c r="D44" s="10" t="str">
        <x:v>做一个SR边界对照</x:v>
      </x:c>
      <x:c r="E44" s="10" t="str">
        <x:v>轻载、工作区、预偏置与反向电流</x:v>
      </x:c>
      <x:c r="F44" s="10" t="str">
        <x:v>先选轻载与正常点比较窗口；在模型中分析延迟关断反例；保留原版，不改实机。</x:v>
      </x:c>
      <x:c r="G44" s="10" t="str">
        <x:v>电流/门极/Vds对照；未建寄生与延迟明确标缺失。</x:v>
      </x:c>
      <x:c r="H44" s="10" t="str">
        <x:v>早关与晚关分别可能增加什么损耗或风险？</x:v>
      </x:c>
      <x:c r="I44" s="16" t="n">
        <x:v>75</x:v>
      </x:c>
      <x:c r="J44" s="10" t="str">
        <x:v>S06-06</x:v>
      </x:c>
      <x:c r="K44" s="10" t="str">
        <x:v>B</x:v>
      </x:c>
      <x:c r="L44" s="10" t="str">
        <x:v>R04 §13.4；R03 T05–T06</x:v>
      </x:c>
      <x:c r="M44" s="13" t="str">
        <x:v>未开始</x:v>
      </x:c>
      <x:c r="N44" s="17"/>
      <x:c r="O44" s="14" t="str"/>
      <x:c r="P44" s="13" t="str">
        <x:v>未做</x:v>
      </x:c>
      <x:c r="Q44" s="13" t="str">
        <x:v>未做</x:v>
      </x:c>
      <x:c r="R44" s="13" t="str"/>
      <x:c r="S44" s="14" t="str"/>
      <x:c r="T44" s="18"/>
      <x:c r="U44" s="9" t="str">
        <x:f>IF(M44&lt;&gt;"完成","未通过",IF(O44="","缺证据位置",IF(P44&lt;&gt;"通过","待闭卷复述",IF(Q44&lt;&gt;"通过","待变式核验",IF(V44&lt;&gt;"达标",V44,IF(U43&lt;&gt;"通过","前置未通过","通过"))))))</x:f>
        <x:v>未通过</x:v>
      </x:c>
      <x:c r="V44" s="9" t="str">
        <x:f>IF(R44="","待填证据等级",IF(MATCH(R44,'项目规格与资料'!$B$40:$B$44,0)&gt;=MATCH(K44,'项目规格与资料'!$B$40:$B$44,0),"达标","证据不足"))</x:f>
        <x:v>待填证据等级</x:v>
      </x:c>
    </x:row>
    <x:row r="45" ht="64" customHeight="1">
      <x:c r="A45" s="2" t="n">
        <x:v>39</x:v>
      </x:c>
      <x:c r="B45" s="2" t="str">
        <x:v>S07-01</x:v>
      </x:c>
      <x:c r="C45" s="2" t="str">
        <x:v>S07</x:v>
      </x:c>
      <x:c r="D45" s="8" t="str">
        <x:v>确定控制对象与方向</x:v>
      </x:c>
      <x:c r="E45" s="8" t="str">
        <x:v>误差符号、执行量、工作区</x:v>
      </x:c>
      <x:c r="F45" s="8" t="str">
        <x:v>选当前实际CC函数；标反馈/给定/误差及Hz或Duty单位；用开环邻近点验证方向。</x:v>
      </x:c>
      <x:c r="G45" s="8" t="str">
        <x:v>一条有工作区前提的反馈链；没有无条件频率规则。</x:v>
      </x:c>
      <x:c r="H45" s="8" t="str">
        <x:v>误差换成另一种定义，PI符号还能照抄吗？</x:v>
      </x:c>
      <x:c r="I45" s="15" t="n">
        <x:v>50</x:v>
      </x:c>
      <x:c r="J45" s="8" t="str">
        <x:v>S06-07</x:v>
      </x:c>
      <x:c r="K45" s="8" t="str">
        <x:v>B</x:v>
      </x:c>
      <x:c r="L45" s="8" t="str">
        <x:v>R07 ConCurrHandle/ConPfmHandle；R04 §11.1</x:v>
      </x:c>
      <x:c r="M45" s="13" t="str">
        <x:v>未开始</x:v>
      </x:c>
      <x:c r="N45" s="17"/>
      <x:c r="O45" s="14" t="str"/>
      <x:c r="P45" s="13" t="str">
        <x:v>未做</x:v>
      </x:c>
      <x:c r="Q45" s="13" t="str">
        <x:v>未做</x:v>
      </x:c>
      <x:c r="R45" s="13" t="str"/>
      <x:c r="S45" s="14" t="str"/>
      <x:c r="T45" s="18"/>
      <x:c r="U45" s="2" t="str">
        <x:f>IF(M45&lt;&gt;"完成","未通过",IF(O45="","缺证据位置",IF(P45&lt;&gt;"通过","待闭卷复述",IF(Q45&lt;&gt;"通过","待变式核验",IF(V45&lt;&gt;"达标",V45,IF(U44&lt;&gt;"通过","前置未通过","通过"))))))</x:f>
        <x:v>未通过</x:v>
      </x:c>
      <x:c r="V45" s="2" t="str">
        <x:f>IF(R45="","待填证据等级",IF(MATCH(R45,'项目规格与资料'!$B$40:$B$44,0)&gt;=MATCH(K45,'项目规格与资料'!$B$40:$B$44,0),"达标","证据不足"))</x:f>
        <x:v>待填证据等级</x:v>
      </x:c>
    </x:row>
    <x:row r="46" ht="64" customHeight="1">
      <x:c r="A46" s="2" t="n">
        <x:v>40</x:v>
      </x:c>
      <x:c r="B46" s="9" t="str">
        <x:v>S07-02</x:v>
      </x:c>
      <x:c r="C46" s="9" t="str">
        <x:v>S07</x:v>
      </x:c>
      <x:c r="D46" s="10" t="str">
        <x:v>复算位置与增量PI</x:v>
      </x:c>
      <x:c r="E46" s="10" t="str">
        <x:v>状态递推、Kp/Ki、Ts与缩放</x:v>
      </x:c>
      <x:c r="F46" s="10" t="str">
        <x:v>对实际用到的两种形式各算短误差序列；对照先积分/后输出及历史字段。</x:v>
      </x:c>
      <x:c r="G46" s="10" t="str">
        <x:v>逐拍误差、内部状态、限幅前后输出一致。</x:v>
      </x:c>
      <x:c r="H46" s="10" t="str">
        <x:v>代码字段叫integral就一定存的是积分量吗？</x:v>
      </x:c>
      <x:c r="I46" s="16" t="n">
        <x:v>75</x:v>
      </x:c>
      <x:c r="J46" s="10" t="str">
        <x:v>S07-01</x:v>
      </x:c>
      <x:c r="K46" s="10" t="str">
        <x:v>B</x:v>
      </x:c>
      <x:c r="L46" s="10" t="str">
        <x:v>R07 Compensator_Pid/Compensator_PidPwm；R04 §11</x:v>
      </x:c>
      <x:c r="M46" s="13" t="str">
        <x:v>未开始</x:v>
      </x:c>
      <x:c r="N46" s="17"/>
      <x:c r="O46" s="14" t="str"/>
      <x:c r="P46" s="13" t="str">
        <x:v>未做</x:v>
      </x:c>
      <x:c r="Q46" s="13" t="str">
        <x:v>未做</x:v>
      </x:c>
      <x:c r="R46" s="13" t="str"/>
      <x:c r="S46" s="14" t="str"/>
      <x:c r="T46" s="18"/>
      <x:c r="U46" s="9" t="str">
        <x:f>IF(M46&lt;&gt;"完成","未通过",IF(O46="","缺证据位置",IF(P46&lt;&gt;"通过","待闭卷复述",IF(Q46&lt;&gt;"通过","待变式核验",IF(V46&lt;&gt;"达标",V46,IF(U45&lt;&gt;"通过","前置未通过","通过"))))))</x:f>
        <x:v>未通过</x:v>
      </x:c>
      <x:c r="V46" s="9" t="str">
        <x:f>IF(R46="","待填证据等级",IF(MATCH(R46,'项目规格与资料'!$B$40:$B$44,0)&gt;=MATCH(K46,'项目规格与资料'!$B$40:$B$44,0),"达标","证据不足"))</x:f>
        <x:v>待填证据等级</x:v>
      </x:c>
    </x:row>
    <x:row r="47" ht="64" customHeight="1">
      <x:c r="A47" s="2" t="n">
        <x:v>41</x:v>
      </x:c>
      <x:c r="B47" s="2" t="str">
        <x:v>S07-03</x:v>
      </x:c>
      <x:c r="C47" s="2" t="str">
        <x:v>S07</x:v>
      </x:c>
      <x:c r="D47" s="8" t="str">
        <x:v>检查饱和与重新接管</x:v>
      </x:c>
      <x:c r="E47" s="8" t="str">
        <x:v>抗积分累积、限幅和初始化</x:v>
      </x:c>
      <x:c r="F47" s="8" t="str">
        <x:v>保持误差使输出饱和，再反向；测试禁用后启用；记录现有行为与要求缺口。</x:v>
      </x:c>
      <x:c r="G47" s="8" t="str">
        <x:v>可重跑序列和恢复过程；不把输出限幅当自动抗饱和。</x:v>
      </x:c>
      <x:c r="H47" s="8" t="str">
        <x:v>未活动控制器长时间积分后接管会怎样？</x:v>
      </x:c>
      <x:c r="I47" s="15" t="n">
        <x:v>50</x:v>
      </x:c>
      <x:c r="J47" s="8" t="str">
        <x:v>S07-02</x:v>
      </x:c>
      <x:c r="K47" s="8" t="str">
        <x:v>B</x:v>
      </x:c>
      <x:c r="L47" s="8" t="str">
        <x:v>R07；R04 §11、§12</x:v>
      </x:c>
      <x:c r="M47" s="13" t="str">
        <x:v>未开始</x:v>
      </x:c>
      <x:c r="N47" s="17"/>
      <x:c r="O47" s="14" t="str"/>
      <x:c r="P47" s="13" t="str">
        <x:v>未做</x:v>
      </x:c>
      <x:c r="Q47" s="13" t="str">
        <x:v>未做</x:v>
      </x:c>
      <x:c r="R47" s="13" t="str"/>
      <x:c r="S47" s="14" t="str"/>
      <x:c r="T47" s="18"/>
      <x:c r="U47" s="2" t="str">
        <x:f>IF(M47&lt;&gt;"完成","未通过",IF(O47="","缺证据位置",IF(P47&lt;&gt;"通过","待闭卷复述",IF(Q47&lt;&gt;"通过","待变式核验",IF(V47&lt;&gt;"达标",V47,IF(U46&lt;&gt;"通过","前置未通过","通过"))))))</x:f>
        <x:v>未通过</x:v>
      </x:c>
      <x:c r="V47" s="2" t="str">
        <x:f>IF(R47="","待填证据等级",IF(MATCH(R47,'项目规格与资料'!$B$40:$B$44,0)&gt;=MATCH(K47,'项目规格与资料'!$B$40:$B$44,0),"达标","证据不足"))</x:f>
        <x:v>待填证据等级</x:v>
      </x:c>
    </x:row>
    <x:row r="48" ht="64" customHeight="1">
      <x:c r="A48" s="2" t="n">
        <x:v>42</x:v>
      </x:c>
      <x:c r="B48" s="9" t="str">
        <x:v>S07-04</x:v>
      </x:c>
      <x:c r="C48" s="9" t="str">
        <x:v>S07</x:v>
      </x:c>
      <x:c r="D48" s="10" t="str">
        <x:v>核对参考斜坡与限制</x:v>
      </x:c>
      <x:c r="E48" s="10" t="str">
        <x:v>A/拍、A/s、功率/温度限制</x:v>
      </x:c>
      <x:c r="F48" s="10" t="str">
        <x:v>追RefRampPwmCurr与RefRampPfmCurr；换算最大斜率；比较请求与实际可用上限。</x:v>
      </x:c>
      <x:c r="G48" s="10" t="str">
        <x:v>斜率和限幅依据表；条件跟踪与纯固定斜坡分开。</x:v>
      </x:c>
      <x:c r="H48" s="10" t="str">
        <x:v>Ts改变后每拍步长不变，A/s是否改变？</x:v>
      </x:c>
      <x:c r="I48" s="16" t="n">
        <x:v>50</x:v>
      </x:c>
      <x:c r="J48" s="10" t="str">
        <x:v>S07-03</x:v>
      </x:c>
      <x:c r="K48" s="10" t="str">
        <x:v>B</x:v>
      </x:c>
      <x:c r="L48" s="10" t="str">
        <x:v>R07 RefRamp；R01 §2</x:v>
      </x:c>
      <x:c r="M48" s="13" t="str">
        <x:v>未开始</x:v>
      </x:c>
      <x:c r="N48" s="17"/>
      <x:c r="O48" s="14" t="str"/>
      <x:c r="P48" s="13" t="str">
        <x:v>未做</x:v>
      </x:c>
      <x:c r="Q48" s="13" t="str">
        <x:v>未做</x:v>
      </x:c>
      <x:c r="R48" s="13" t="str"/>
      <x:c r="S48" s="14" t="str"/>
      <x:c r="T48" s="18"/>
      <x:c r="U48" s="9" t="str">
        <x:f>IF(M48&lt;&gt;"完成","未通过",IF(O48="","缺证据位置",IF(P48&lt;&gt;"通过","待闭卷复述",IF(Q48&lt;&gt;"通过","待变式核验",IF(V48&lt;&gt;"达标",V48,IF(U47&lt;&gt;"通过","前置未通过","通过"))))))</x:f>
        <x:v>未通过</x:v>
      </x:c>
      <x:c r="V48" s="9" t="str">
        <x:f>IF(R48="","待填证据等级",IF(MATCH(R48,'项目规格与资料'!$B$40:$B$44,0)&gt;=MATCH(K48,'项目规格与资料'!$B$40:$B$44,0),"达标","证据不足"))</x:f>
        <x:v>待填证据等级</x:v>
      </x:c>
    </x:row>
    <x:row r="49" ht="64" customHeight="1">
      <x:c r="A49" s="2" t="n">
        <x:v>43</x:v>
      </x:c>
      <x:c r="B49" s="2" t="str">
        <x:v>S07-05</x:v>
      </x:c>
      <x:c r="C49" s="2" t="str">
        <x:v>S07</x:v>
      </x:c>
      <x:c r="D49" s="8" t="str">
        <x:v>获取一个局部动态响应</x:v>
      </x:c>
      <x:c r="E49" s="8" t="str">
        <x:v>静态灵敏度、阶跃、动态对象</x:v>
      </x:c>
      <x:c r="F49" s="8" t="str">
        <x:v>在已建立的模型工作点做小扰动；记录控制量到输出响应；检查扰动幅度与稳态窗口。</x:v>
      </x:c>
      <x:c r="G49" s="8" t="str">
        <x:v>一组局部响应；说明模型假设与尚缺频响依据。</x:v>
      </x:c>
      <x:c r="H49" s="8" t="str">
        <x:v>静态增益曲线能否直接给PI带宽与裕度？</x:v>
      </x:c>
      <x:c r="I49" s="15" t="n">
        <x:v>75</x:v>
      </x:c>
      <x:c r="J49" s="8" t="str">
        <x:v>S07-04</x:v>
      </x:c>
      <x:c r="K49" s="8" t="str">
        <x:v>B</x:v>
      </x:c>
      <x:c r="L49" s="8" t="str">
        <x:v>R04 §10；R06 T23</x:v>
      </x:c>
      <x:c r="M49" s="13" t="str">
        <x:v>未开始</x:v>
      </x:c>
      <x:c r="N49" s="17"/>
      <x:c r="O49" s="14" t="str"/>
      <x:c r="P49" s="13" t="str">
        <x:v>未做</x:v>
      </x:c>
      <x:c r="Q49" s="13" t="str">
        <x:v>未做</x:v>
      </x:c>
      <x:c r="R49" s="13" t="str"/>
      <x:c r="S49" s="14" t="str"/>
      <x:c r="T49" s="18"/>
      <x:c r="U49" s="2" t="str">
        <x:f>IF(M49&lt;&gt;"完成","未通过",IF(O49="","缺证据位置",IF(P49&lt;&gt;"通过","待闭卷复述",IF(Q49&lt;&gt;"通过","待变式核验",IF(V49&lt;&gt;"达标",V49,IF(U48&lt;&gt;"通过","前置未通过","通过"))))))</x:f>
        <x:v>未通过</x:v>
      </x:c>
      <x:c r="V49" s="2" t="str">
        <x:f>IF(R49="","待填证据等级",IF(MATCH(R49,'项目规格与资料'!$B$40:$B$44,0)&gt;=MATCH(K49,'项目规格与资料'!$B$40:$B$44,0),"达标","证据不足"))</x:f>
        <x:v>待填证据等级</x:v>
      </x:c>
    </x:row>
    <x:row r="50" ht="64" customHeight="1">
      <x:c r="A50" s="2" t="n">
        <x:v>44</x:v>
      </x:c>
      <x:c r="B50" s="9" t="str">
        <x:v>S07-06</x:v>
      </x:c>
      <x:c r="C50" s="9" t="str">
        <x:v>S07</x:v>
      </x:c>
      <x:c r="D50" s="10" t="str">
        <x:v>建立候选补偿依据</x:v>
      </x:c>
      <x:c r="E50" s="10" t="str">
        <x:v>带宽/裕度、延迟、离散化和系数责任</x:v>
      </x:c>
      <x:c r="F50" s="10" t="str">
        <x:v>在适用对象或独立教学对象上检查候选补偿；列Ts/缩放/限幅；真实设计依据不足保留缺口。</x:v>
      </x:c>
      <x:c r="G50" s="10" t="str">
        <x:v>一个有对象和约束的候选分析；不声称唯一还原公司设计。</x:v>
      </x:c>
      <x:c r="H50" s="10" t="str">
        <x:v>只给PI系数，能唯一恢复原作者设计模型吗？</x:v>
      </x:c>
      <x:c r="I50" s="16" t="n">
        <x:v>100</x:v>
      </x:c>
      <x:c r="J50" s="10" t="str">
        <x:v>S07-05</x:v>
      </x:c>
      <x:c r="K50" s="10" t="str">
        <x:v>B</x:v>
      </x:c>
      <x:c r="L50" s="10" t="str">
        <x:v>R04 §10–11；R06 T24</x:v>
      </x:c>
      <x:c r="M50" s="13" t="str">
        <x:v>未开始</x:v>
      </x:c>
      <x:c r="N50" s="17"/>
      <x:c r="O50" s="14" t="str"/>
      <x:c r="P50" s="13" t="str">
        <x:v>未做</x:v>
      </x:c>
      <x:c r="Q50" s="13" t="str">
        <x:v>未做</x:v>
      </x:c>
      <x:c r="R50" s="13" t="str"/>
      <x:c r="S50" s="14" t="str"/>
      <x:c r="T50" s="18"/>
      <x:c r="U50" s="9" t="str">
        <x:f>IF(M50&lt;&gt;"完成","未通过",IF(O50="","缺证据位置",IF(P50&lt;&gt;"通过","待闭卷复述",IF(Q50&lt;&gt;"通过","待变式核验",IF(V50&lt;&gt;"达标",V50,IF(U49&lt;&gt;"通过","前置未通过","通过"))))))</x:f>
        <x:v>未通过</x:v>
      </x:c>
      <x:c r="V50" s="9" t="str">
        <x:f>IF(R50="","待填证据等级",IF(MATCH(R50,'项目规格与资料'!$B$40:$B$44,0)&gt;=MATCH(K50,'项目规格与资料'!$B$40:$B$44,0),"达标","证据不足"))</x:f>
        <x:v>待填证据等级</x:v>
      </x:c>
    </x:row>
    <x:row r="51" ht="64" customHeight="1">
      <x:c r="A51" s="2" t="n">
        <x:v>45</x:v>
      </x:c>
      <x:c r="B51" s="2" t="str">
        <x:v>S07-07</x:v>
      </x:c>
      <x:c r="C51" s="2" t="str">
        <x:v>S07</x:v>
      </x:c>
      <x:c r="D51" s="8" t="str">
        <x:v>验证限定工况闭环</x:v>
      </x:c>
      <x:c r="E51" s="8" t="str">
        <x:v>跟踪、扰动、饱和与适用范围</x:v>
      </x:c>
      <x:c r="F51" s="8" t="str">
        <x:v>优先接已有控制；测一个给定变化、一个负载变化和饱和恢复；先核对测量/执行。</x:v>
      </x:c>
      <x:c r="G51" s="8" t="str">
        <x:v>输入与指标来源明确；不以不振荡一项判稳定设计完成。</x:v>
      </x:c>
      <x:c r="H51" s="8" t="str">
        <x:v>输出不足时为何应先查限幅和实际门极？</x:v>
      </x:c>
      <x:c r="I51" s="15" t="n">
        <x:v>100</x:v>
      </x:c>
      <x:c r="J51" s="8" t="str">
        <x:v>S07-06</x:v>
      </x:c>
      <x:c r="K51" s="8" t="str">
        <x:v>B</x:v>
      </x:c>
      <x:c r="L51" s="8" t="str">
        <x:v>R04 §11、§17；R03 T07</x:v>
      </x:c>
      <x:c r="M51" s="13" t="str">
        <x:v>未开始</x:v>
      </x:c>
      <x:c r="N51" s="17"/>
      <x:c r="O51" s="14" t="str"/>
      <x:c r="P51" s="13" t="str">
        <x:v>未做</x:v>
      </x:c>
      <x:c r="Q51" s="13" t="str">
        <x:v>未做</x:v>
      </x:c>
      <x:c r="R51" s="13" t="str"/>
      <x:c r="S51" s="14" t="str"/>
      <x:c r="T51" s="18"/>
      <x:c r="U51" s="2" t="str">
        <x:f>IF(M51&lt;&gt;"完成","未通过",IF(O51="","缺证据位置",IF(P51&lt;&gt;"通过","待闭卷复述",IF(Q51&lt;&gt;"通过","待变式核验",IF(V51&lt;&gt;"达标",V51,IF(U50&lt;&gt;"通过","前置未通过","通过"))))))</x:f>
        <x:v>未通过</x:v>
      </x:c>
      <x:c r="V51" s="2" t="str">
        <x:f>IF(R51="","待填证据等级",IF(MATCH(R51,'项目规格与资料'!$B$40:$B$44,0)&gt;=MATCH(K51,'项目规格与资料'!$B$40:$B$44,0),"达标","证据不足"))</x:f>
        <x:v>待填证据等级</x:v>
      </x:c>
    </x:row>
    <x:row r="52" ht="64" customHeight="1">
      <x:c r="A52" s="2" t="n">
        <x:v>46</x:v>
      </x:c>
      <x:c r="B52" s="9" t="str">
        <x:v>S08-01</x:v>
      </x:c>
      <x:c r="C52" s="9" t="str">
        <x:v>S08</x:v>
      </x:c>
      <x:c r="D52" s="10" t="str">
        <x:v>识别模式与请求所有者</x:v>
      </x:c>
      <x:c r="E52" s="10" t="str">
        <x:v>0～8模式、慢环命令与自动请求</x:v>
      </x:c>
      <x:c r="F52" s="10" t="str">
        <x:v>列当前枚举到函数；追强制CtrMode与RequestMode的作用；分清模型强制和实机入口。</x:v>
      </x:c>
      <x:c r="G52" s="10" t="str">
        <x:v>模式表对应源码与模型接口；能解除强制以观察自动链。</x:v>
      </x:c>
      <x:c r="H52" s="10" t="str">
        <x:v>一直钉模式5，自动5→8→6→7还能正常被观察吗？</x:v>
      </x:c>
      <x:c r="I52" s="16" t="n">
        <x:v>50</x:v>
      </x:c>
      <x:c r="J52" s="10" t="str">
        <x:v>S07-07</x:v>
      </x:c>
      <x:c r="K52" s="10" t="str">
        <x:v>A</x:v>
      </x:c>
      <x:c r="L52" s="10" t="str">
        <x:v>R07 PowerCtrHandle；R09；R13</x:v>
      </x:c>
      <x:c r="M52" s="13" t="str">
        <x:v>未开始</x:v>
      </x:c>
      <x:c r="N52" s="17"/>
      <x:c r="O52" s="14" t="str"/>
      <x:c r="P52" s="13" t="str">
        <x:v>未做</x:v>
      </x:c>
      <x:c r="Q52" s="13" t="str">
        <x:v>未做</x:v>
      </x:c>
      <x:c r="R52" s="13" t="str"/>
      <x:c r="S52" s="14" t="str"/>
      <x:c r="T52" s="18"/>
      <x:c r="U52" s="9" t="str">
        <x:f>IF(M52&lt;&gt;"完成","未通过",IF(O52="","缺证据位置",IF(P52&lt;&gt;"通过","待闭卷复述",IF(Q52&lt;&gt;"通过","待变式核验",IF(V52&lt;&gt;"达标",V52,IF(U51&lt;&gt;"通过","前置未通过","通过"))))))</x:f>
        <x:v>未通过</x:v>
      </x:c>
      <x:c r="V52" s="9" t="str">
        <x:f>IF(R52="","待填证据等级",IF(MATCH(R52,'项目规格与资料'!$B$40:$B$44,0)&gt;=MATCH(K52,'项目规格与资料'!$B$40:$B$44,0),"达标","证据不足"))</x:f>
        <x:v>待填证据等级</x:v>
      </x:c>
    </x:row>
    <x:row r="53" ht="64" customHeight="1">
      <x:c r="A53" s="2" t="n">
        <x:v>47</x:v>
      </x:c>
      <x:c r="B53" s="2" t="str">
        <x:v>S08-02</x:v>
      </x:c>
      <x:c r="C53" s="2" t="str">
        <x:v>S08</x:v>
      </x:c>
      <x:c r="D53" s="8" t="str">
        <x:v>核对CC/CV控制权</x:v>
      </x:c>
      <x:c r="E53" s="8" t="str">
        <x:v>输出CC、CV、选择与串级</x:v>
      </x:c>
      <x:c r="F53" s="8" t="str">
        <x:v>按实际代码画请求/反馈/执行量；查谁当前控制，未活动PI怎样处理。</x:v>
      </x:c>
      <x:c r="G53" s="8" t="str">
        <x:v>控制权表；没有因为看到两个PI就假定串级或取min。</x:v>
      </x:c>
      <x:c r="H53" s="8" t="str">
        <x:v>两路都输出频率时，照抄取最小值是否可靠？</x:v>
      </x:c>
      <x:c r="I53" s="15" t="n">
        <x:v>50</x:v>
      </x:c>
      <x:c r="J53" s="8" t="str">
        <x:v>S08-01</x:v>
      </x:c>
      <x:c r="K53" s="8" t="str">
        <x:v>A</x:v>
      </x:c>
      <x:c r="L53" s="8" t="str">
        <x:v>R07；R04 §12</x:v>
      </x:c>
      <x:c r="M53" s="13" t="str">
        <x:v>未开始</x:v>
      </x:c>
      <x:c r="N53" s="17"/>
      <x:c r="O53" s="14" t="str"/>
      <x:c r="P53" s="13" t="str">
        <x:v>未做</x:v>
      </x:c>
      <x:c r="Q53" s="13" t="str">
        <x:v>未做</x:v>
      </x:c>
      <x:c r="R53" s="13" t="str"/>
      <x:c r="S53" s="14" t="str"/>
      <x:c r="T53" s="18"/>
      <x:c r="U53" s="2" t="str">
        <x:f>IF(M53&lt;&gt;"完成","未通过",IF(O53="","缺证据位置",IF(P53&lt;&gt;"通过","待闭卷复述",IF(Q53&lt;&gt;"通过","待变式核验",IF(V53&lt;&gt;"达标",V53,IF(U52&lt;&gt;"通过","前置未通过","通过"))))))</x:f>
        <x:v>未通过</x:v>
      </x:c>
      <x:c r="V53" s="2" t="str">
        <x:f>IF(R53="","待填证据等级",IF(MATCH(R53,'项目规格与资料'!$B$40:$B$44,0)&gt;=MATCH(K53,'项目规格与资料'!$B$40:$B$44,0),"达标","证据不足"))</x:f>
        <x:v>待填证据等级</x:v>
      </x:c>
    </x:row>
    <x:row r="54" ht="64" customHeight="1">
      <x:c r="A54" s="2" t="n">
        <x:v>48</x:v>
      </x:c>
      <x:c r="B54" s="9" t="str">
        <x:v>S08-03</x:v>
      </x:c>
      <x:c r="C54" s="9" t="str">
        <x:v>S08</x:v>
      </x:c>
      <x:c r="D54" s="10" t="str">
        <x:v>核对请求与功率约束</x:v>
      </x:c>
      <x:c r="E54" s="10" t="str">
        <x:v>BMS/PMS、单位、有效期和降额</x:v>
      </x:c>
      <x:c r="F54" s="10" t="str">
        <x:v>选一个外部电流请求；追限流/功率/温度路径；标1600W目标与10A/16A代码限制的差别。</x:v>
      </x:c>
      <x:c r="G54" s="10" t="str">
        <x:v>请求到可执行目标的表；产品规格未知单独列出。</x:v>
      </x:c>
      <x:c r="H54" s="10" t="str">
        <x:v>同样1600W，在不同电池电压下需要相同电流吗？</x:v>
      </x:c>
      <x:c r="I54" s="16" t="n">
        <x:v>50</x:v>
      </x:c>
      <x:c r="J54" s="10" t="str">
        <x:v>S08-02</x:v>
      </x:c>
      <x:c r="K54" s="10" t="str">
        <x:v>B</x:v>
      </x:c>
      <x:c r="L54" s="10" t="str">
        <x:v>R07 RefRamp；R09；R01 §2</x:v>
      </x:c>
      <x:c r="M54" s="13" t="str">
        <x:v>未开始</x:v>
      </x:c>
      <x:c r="N54" s="17"/>
      <x:c r="O54" s="14" t="str"/>
      <x:c r="P54" s="13" t="str">
        <x:v>未做</x:v>
      </x:c>
      <x:c r="Q54" s="13" t="str">
        <x:v>未做</x:v>
      </x:c>
      <x:c r="R54" s="13" t="str"/>
      <x:c r="S54" s="14" t="str"/>
      <x:c r="T54" s="18"/>
      <x:c r="U54" s="9" t="str">
        <x:f>IF(M54&lt;&gt;"完成","未通过",IF(O54="","缺证据位置",IF(P54&lt;&gt;"通过","待闭卷复述",IF(Q54&lt;&gt;"通过","待变式核验",IF(V54&lt;&gt;"达标",V54,IF(U53&lt;&gt;"通过","前置未通过","通过"))))))</x:f>
        <x:v>未通过</x:v>
      </x:c>
      <x:c r="V54" s="9" t="str">
        <x:f>IF(R54="","待填证据等级",IF(MATCH(R54,'项目规格与资料'!$B$40:$B$44,0)&gt;=MATCH(K54,'项目规格与资料'!$B$40:$B$44,0),"达标","证据不足"))</x:f>
        <x:v>待填证据等级</x:v>
      </x:c>
    </x:row>
    <x:row r="55" ht="64" customHeight="1">
      <x:c r="A55" s="2" t="n">
        <x:v>49</x:v>
      </x:c>
      <x:c r="B55" s="2" t="str">
        <x:v>S08-04</x:v>
      </x:c>
      <x:c r="C55" s="2" t="str">
        <x:v>S08</x:v>
      </x:c>
      <x:c r="D55" s="8" t="str">
        <x:v>观察Hold与Transition</x:v>
      </x:c>
      <x:c r="E55" s="8" t="str">
        <x:v>输出FIR、累计计数、短脉冲过渡</x:v>
      </x:c>
      <x:c r="F55" s="8" t="str">
        <x:v>选择已支持的模型场景；追5→8→6→7；观察模式、参考、频率、比较窗和SR。</x:v>
      </x:c>
      <x:c r="G55" s="8" t="str">
        <x:v>边界前后波形与状态；单看Duty不足的原因明确。</x:v>
      </x:c>
      <x:c r="H55" s="8" t="str">
        <x:v>切模式同拍Duty=0.05，是否说明实际发5%PWM？</x:v>
      </x:c>
      <x:c r="I55" s="15" t="n">
        <x:v>75</x:v>
      </x:c>
      <x:c r="J55" s="8" t="str">
        <x:v>S08-03</x:v>
      </x:c>
      <x:c r="K55" s="8" t="str">
        <x:v>B</x:v>
      </x:c>
      <x:c r="L55" s="8" t="str">
        <x:v>R02 §7；R07 ConPwmHoldHandle/ConTransHandle</x:v>
      </x:c>
      <x:c r="M55" s="13" t="str">
        <x:v>未开始</x:v>
      </x:c>
      <x:c r="N55" s="17"/>
      <x:c r="O55" s="14" t="str"/>
      <x:c r="P55" s="13" t="str">
        <x:v>未做</x:v>
      </x:c>
      <x:c r="Q55" s="13" t="str">
        <x:v>未做</x:v>
      </x:c>
      <x:c r="R55" s="13" t="str"/>
      <x:c r="S55" s="14" t="str"/>
      <x:c r="T55" s="18"/>
      <x:c r="U55" s="2" t="str">
        <x:f>IF(M55&lt;&gt;"完成","未通过",IF(O55="","缺证据位置",IF(P55&lt;&gt;"通过","待闭卷复述",IF(Q55&lt;&gt;"通过","待变式核验",IF(V55&lt;&gt;"达标",V55,IF(U54&lt;&gt;"通过","前置未通过","通过"))))))</x:f>
        <x:v>未通过</x:v>
      </x:c>
      <x:c r="V55" s="2" t="str">
        <x:f>IF(R55="","待填证据等级",IF(MATCH(R55,'项目规格与资料'!$B$40:$B$44,0)&gt;=MATCH(K55,'项目规格与资料'!$B$40:$B$44,0),"达标","证据不足"))</x:f>
        <x:v>待填证据等级</x:v>
      </x:c>
    </x:row>
    <x:row r="56" ht="64" customHeight="1">
      <x:c r="A56" s="2" t="n">
        <x:v>50</x:v>
      </x:c>
      <x:c r="B56" s="9" t="str">
        <x:v>S08-05</x:v>
      </x:c>
      <x:c r="C56" s="9" t="str">
        <x:v>S08</x:v>
      </x:c>
      <x:c r="D56" s="10" t="str">
        <x:v>核对交接内部状态</x:v>
      </x:c>
      <x:c r="E56" s="10" t="str">
        <x:v>PI预置、历史误差、参考和能量</x:v>
      </x:c>
      <x:c r="F56" s="10" t="str">
        <x:v>针对一处切换列进入/退出的状态修改；计算首拍输出是否匹配；测试阈值附近变化。</x:v>
      </x:c>
      <x:c r="G56" s="10" t="str">
        <x:v>交接表及首拍计算；允许电流缺口/过冲指标未定则列待确认。</x:v>
      </x:c>
      <x:c r="H56" s="10" t="str">
        <x:v>Ibat_FIR小能否证明Ir和Cr能量都已小？</x:v>
      </x:c>
      <x:c r="I56" s="16" t="n">
        <x:v>75</x:v>
      </x:c>
      <x:c r="J56" s="10" t="str">
        <x:v>S08-04</x:v>
      </x:c>
      <x:c r="K56" s="10" t="str">
        <x:v>B</x:v>
      </x:c>
      <x:c r="L56" s="10" t="str">
        <x:v>R02 §7；R04 §12.3</x:v>
      </x:c>
      <x:c r="M56" s="13" t="str">
        <x:v>未开始</x:v>
      </x:c>
      <x:c r="N56" s="17"/>
      <x:c r="O56" s="14" t="str"/>
      <x:c r="P56" s="13" t="str">
        <x:v>未做</x:v>
      </x:c>
      <x:c r="Q56" s="13" t="str">
        <x:v>未做</x:v>
      </x:c>
      <x:c r="R56" s="13" t="str"/>
      <x:c r="S56" s="14" t="str"/>
      <x:c r="T56" s="18"/>
      <x:c r="U56" s="9" t="str">
        <x:f>IF(M56&lt;&gt;"完成","未通过",IF(O56="","缺证据位置",IF(P56&lt;&gt;"通过","待闭卷复述",IF(Q56&lt;&gt;"通过","待变式核验",IF(V56&lt;&gt;"达标",V56,IF(U55&lt;&gt;"通过","前置未通过","通过"))))))</x:f>
        <x:v>未通过</x:v>
      </x:c>
      <x:c r="V56" s="9" t="str">
        <x:f>IF(R56="","待填证据等级",IF(MATCH(R56,'项目规格与资料'!$B$40:$B$44,0)&gt;=MATCH(K56,'项目规格与资料'!$B$40:$B$44,0),"达标","证据不足"))</x:f>
        <x:v>待填证据等级</x:v>
      </x:c>
    </x:row>
    <x:row r="57" ht="64" customHeight="1">
      <x:c r="A57" s="2" t="n">
        <x:v>51</x:v>
      </x:c>
      <x:c r="B57" s="2" t="str">
        <x:v>S08-06</x:v>
      </x:c>
      <x:c r="C57" s="2" t="str">
        <x:v>S08</x:v>
      </x:c>
      <x:c r="D57" s="8" t="str">
        <x:v>复跑CC与CV各一个场景</x:v>
      </x:c>
      <x:c r="E57" s="8" t="str">
        <x:v>电池钳位与电阻/电子负载差别</x:v>
      </x:c>
      <x:c r="F57" s="8" t="str">
        <x:v>使用对应负载分别验证CC/CV；记录实际给定、上限和控制权；保留基线。</x:v>
      </x:c>
      <x:c r="G57" s="8" t="str">
        <x:v>两条有负载与模式说明的记录；不拿更高电压源钳位结果误判CV。</x:v>
      </x:c>
      <x:c r="H57" s="8" t="str">
        <x:v>测30V CV时接32V理想电池，为什么不能只看Vo判环路？</x:v>
      </x:c>
      <x:c r="I57" s="15" t="n">
        <x:v>75</x:v>
      </x:c>
      <x:c r="J57" s="8" t="str">
        <x:v>S08-05</x:v>
      </x:c>
      <x:c r="K57" s="8" t="str">
        <x:v>B</x:v>
      </x:c>
      <x:c r="L57" s="8" t="str">
        <x:v>R01 §1.3；R13</x:v>
      </x:c>
      <x:c r="M57" s="13" t="str">
        <x:v>未开始</x:v>
      </x:c>
      <x:c r="N57" s="17"/>
      <x:c r="O57" s="14" t="str"/>
      <x:c r="P57" s="13" t="str">
        <x:v>未做</x:v>
      </x:c>
      <x:c r="Q57" s="13" t="str">
        <x:v>未做</x:v>
      </x:c>
      <x:c r="R57" s="13" t="str"/>
      <x:c r="S57" s="14" t="str"/>
      <x:c r="T57" s="18"/>
      <x:c r="U57" s="2" t="str">
        <x:f>IF(M57&lt;&gt;"完成","未通过",IF(O57="","缺证据位置",IF(P57&lt;&gt;"通过","待闭卷复述",IF(Q57&lt;&gt;"通过","待变式核验",IF(V57&lt;&gt;"达标",V57,IF(U56&lt;&gt;"通过","前置未通过","通过"))))))</x:f>
        <x:v>未通过</x:v>
      </x:c>
      <x:c r="V57" s="2" t="str">
        <x:f>IF(R57="","待填证据等级",IF(MATCH(R57,'项目规格与资料'!$B$40:$B$44,0)&gt;=MATCH(K57,'项目规格与资料'!$B$40:$B$44,0),"达标","证据不足"))</x:f>
        <x:v>待填证据等级</x:v>
      </x:c>
    </x:row>
    <x:row r="58" ht="64" customHeight="1">
      <x:c r="A58" s="2" t="n">
        <x:v>52</x:v>
      </x:c>
      <x:c r="B58" s="9" t="str">
        <x:v>S09-01</x:v>
      </x:c>
      <x:c r="C58" s="9" t="str">
        <x:v>S09</x:v>
      </x:c>
      <x:c r="D58" s="10" t="str">
        <x:v>区分四种预充</x:v>
      </x:c>
      <x:c r="E58" s="10" t="str">
        <x:v>母线、自举、Cr初态、输出预充</x:v>
      </x:c>
      <x:c r="F58" s="10" t="str">
        <x:v>打开02文档；在实际图标各充电路径/目标/完成条件；未知路径不要补画。</x:v>
      </x:c>
      <x:c r="G58" s="10" t="str">
        <x:v>四项表；能解释已有输出预充不证明自举和Cr已准备。</x:v>
      </x:c>
      <x:c r="H58" s="10" t="str">
        <x:v>独立开低管是否自动把Cr充到Vbus/2？</x:v>
      </x:c>
      <x:c r="I58" s="16" t="n">
        <x:v>25</x:v>
      </x:c>
      <x:c r="J58" s="10" t="str">
        <x:v>S08-06</x:v>
      </x:c>
      <x:c r="K58" s="10" t="str">
        <x:v>A</x:v>
      </x:c>
      <x:c r="L58" s="10" t="str">
        <x:v>R02 §1–4</x:v>
      </x:c>
      <x:c r="M58" s="13" t="str">
        <x:v>未开始</x:v>
      </x:c>
      <x:c r="N58" s="17"/>
      <x:c r="O58" s="14" t="str"/>
      <x:c r="P58" s="13" t="str">
        <x:v>未做</x:v>
      </x:c>
      <x:c r="Q58" s="13" t="str">
        <x:v>未做</x:v>
      </x:c>
      <x:c r="R58" s="13" t="str"/>
      <x:c r="S58" s="14" t="str"/>
      <x:c r="T58" s="18"/>
      <x:c r="U58" s="9" t="str">
        <x:f>IF(M58&lt;&gt;"完成","未通过",IF(O58="","缺证据位置",IF(P58&lt;&gt;"通过","待闭卷复述",IF(Q58&lt;&gt;"通过","待变式核验",IF(V58&lt;&gt;"达标",V58,IF(U57&lt;&gt;"通过","前置未通过","通过"))))))</x:f>
        <x:v>未通过</x:v>
      </x:c>
      <x:c r="V58" s="9" t="str">
        <x:f>IF(R58="","待填证据等级",IF(MATCH(R58,'项目规格与资料'!$B$40:$B$44,0)&gt;=MATCH(K58,'项目规格与资料'!$B$40:$B$44,0),"达标","证据不足"))</x:f>
        <x:v>待填证据等级</x:v>
      </x:c>
    </x:row>
    <x:row r="59" ht="64" customHeight="1">
      <x:c r="A59" s="2" t="n">
        <x:v>53</x:v>
      </x:c>
      <x:c r="B59" s="2" t="str">
        <x:v>S09-02</x:v>
      </x:c>
      <x:c r="C59" s="2" t="str">
        <x:v>S09</x:v>
      </x:c>
      <x:c r="D59" s="8" t="str">
        <x:v>设计自举核验项</x:v>
      </x:c>
      <x:c r="E59" s="8" t="str">
        <x:v>有效Cboot、电荷预算、UVLO与刷新</x:v>
      </x:c>
      <x:c r="F59" s="8" t="str">
        <x:v>按驱动实际参数或待确认项建立电荷预算；列首次和0.5s停波后入口；不凭延迟定充电时间。</x:v>
      </x:c>
      <x:c r="G59" s="8" t="str">
        <x:v>参数/公式/测量需求表；没型号时只完成核验设计。</x:v>
      </x:c>
      <x:c r="H59" s="8" t="str">
        <x:v>充电脉冲长于传播延迟，为什么仍可能充不够？</x:v>
      </x:c>
      <x:c r="I59" s="15" t="n">
        <x:v>75</x:v>
      </x:c>
      <x:c r="J59" s="8" t="str">
        <x:v>S09-01</x:v>
      </x:c>
      <x:c r="K59" s="8" t="str">
        <x:v>B</x:v>
      </x:c>
      <x:c r="L59" s="8" t="str">
        <x:v>R02 §3；R10</x:v>
      </x:c>
      <x:c r="M59" s="13" t="str">
        <x:v>未开始</x:v>
      </x:c>
      <x:c r="N59" s="17"/>
      <x:c r="O59" s="14" t="str"/>
      <x:c r="P59" s="13" t="str">
        <x:v>未做</x:v>
      </x:c>
      <x:c r="Q59" s="13" t="str">
        <x:v>未做</x:v>
      </x:c>
      <x:c r="R59" s="13" t="str"/>
      <x:c r="S59" s="14" t="str"/>
      <x:c r="T59" s="18"/>
      <x:c r="U59" s="2" t="str">
        <x:f>IF(M59&lt;&gt;"完成","未通过",IF(O59="","缺证据位置",IF(P59&lt;&gt;"通过","待闭卷复述",IF(Q59&lt;&gt;"通过","待变式核验",IF(V59&lt;&gt;"达标",V59,IF(U58&lt;&gt;"通过","前置未通过","通过"))))))</x:f>
        <x:v>未通过</x:v>
      </x:c>
      <x:c r="V59" s="2" t="str">
        <x:f>IF(R59="","待填证据等级",IF(MATCH(R59,'项目规格与资料'!$B$40:$B$44,0)&gt;=MATCH(K59,'项目规格与资料'!$B$40:$B$44,0),"达标","证据不足"))</x:f>
        <x:v>待填证据等级</x:v>
      </x:c>
    </x:row>
    <x:row r="60" ht="64" customHeight="1">
      <x:c r="A60" s="2" t="n">
        <x:v>54</x:v>
      </x:c>
      <x:c r="B60" s="9" t="str">
        <x:v>S09-03</x:v>
      </x:c>
      <x:c r="C60" s="9" t="str">
        <x:v>S09</x:v>
      </x:c>
      <x:c r="D60" s="10" t="str">
        <x:v>分析Cr与谐振残态</x:v>
      </x:c>
      <x:c r="E60" s="10" t="str">
        <x:v>冷启/热启、首拍应力、磁通残留</x:v>
      </x:c>
      <x:c r="F60" s="10" t="str">
        <x:v>在模型保留真实物理状态做热重启；选择一个残压反例；看Ir/Vcr与首拍。</x:v>
      </x:c>
      <x:c r="G60" s="10" t="str">
        <x:v>初态、操作、峰值和限制记录；没有重置物理状态掩盖风险。</x:v>
      </x:c>
      <x:c r="H60" s="10" t="str">
        <x:v>故障截断后软件清零能否清掉电路储能？</x:v>
      </x:c>
      <x:c r="I60" s="16" t="n">
        <x:v>75</x:v>
      </x:c>
      <x:c r="J60" s="10" t="str">
        <x:v>S09-02</x:v>
      </x:c>
      <x:c r="K60" s="10" t="str">
        <x:v>B</x:v>
      </x:c>
      <x:c r="L60" s="10" t="str">
        <x:v>R02 §2、§4</x:v>
      </x:c>
      <x:c r="M60" s="13" t="str">
        <x:v>未开始</x:v>
      </x:c>
      <x:c r="N60" s="17"/>
      <x:c r="O60" s="14" t="str"/>
      <x:c r="P60" s="13" t="str">
        <x:v>未做</x:v>
      </x:c>
      <x:c r="Q60" s="13" t="str">
        <x:v>未做</x:v>
      </x:c>
      <x:c r="R60" s="13" t="str"/>
      <x:c r="S60" s="14" t="str"/>
      <x:c r="T60" s="18"/>
      <x:c r="U60" s="9" t="str">
        <x:f>IF(M60&lt;&gt;"完成","未通过",IF(O60="","缺证据位置",IF(P60&lt;&gt;"通过","待闭卷复述",IF(Q60&lt;&gt;"通过","待变式核验",IF(V60&lt;&gt;"达标",V60,IF(U59&lt;&gt;"通过","前置未通过","通过"))))))</x:f>
        <x:v>未通过</x:v>
      </x:c>
      <x:c r="V60" s="9" t="str">
        <x:f>IF(R60="","待填证据等级",IF(MATCH(R60,'项目规格与资料'!$B$40:$B$44,0)&gt;=MATCH(K60,'项目规格与资料'!$B$40:$B$44,0),"达标","证据不足"))</x:f>
        <x:v>待填证据等级</x:v>
      </x:c>
    </x:row>
    <x:row r="61" ht="64" customHeight="1">
      <x:c r="A61" s="2" t="n">
        <x:v>55</x:v>
      </x:c>
      <x:c r="B61" s="2" t="str">
        <x:v>S09-04</x:v>
      </x:c>
      <x:c r="C61" s="2" t="str">
        <x:v>S09</x:v>
      </x:c>
      <x:c r="D61" s="8" t="str">
        <x:v>核对输出预充与继电器</x:v>
      </x:c>
      <x:c r="E61" s="8" t="str">
        <x:v>双边压差、吸合延迟、方向与超时</x:v>
      </x:c>
      <x:c r="F61" s="8" t="str">
        <x:v>追SoftCurStart一条路径；列Vrly/Vbat判据、计数和继电器命令；区分软件状态/触点反馈。</x:v>
      </x:c>
      <x:c r="G61" s="8" t="str">
        <x:v>动作与判据表；单边合闸、符号和60V边界列待确认。</x:v>
      </x:c>
      <x:c r="H61" s="8" t="str">
        <x:v>Vrly&lt;Vbat+0.2为何不一定表示两侧接近？</x:v>
      </x:c>
      <x:c r="I61" s="15" t="n">
        <x:v>75</x:v>
      </x:c>
      <x:c r="J61" s="8" t="str">
        <x:v>S09-03</x:v>
      </x:c>
      <x:c r="K61" s="8" t="str">
        <x:v>A</x:v>
      </x:c>
      <x:c r="L61" s="8" t="str">
        <x:v>R07 SoftCurStart；R08 ChargeOn；R02 §5</x:v>
      </x:c>
      <x:c r="M61" s="13" t="str">
        <x:v>未开始</x:v>
      </x:c>
      <x:c r="N61" s="17"/>
      <x:c r="O61" s="14" t="str"/>
      <x:c r="P61" s="13" t="str">
        <x:v>未做</x:v>
      </x:c>
      <x:c r="Q61" s="13" t="str">
        <x:v>未做</x:v>
      </x:c>
      <x:c r="R61" s="13" t="str"/>
      <x:c r="S61" s="14" t="str"/>
      <x:c r="T61" s="18"/>
      <x:c r="U61" s="2" t="str">
        <x:f>IF(M61&lt;&gt;"完成","未通过",IF(O61="","缺证据位置",IF(P61&lt;&gt;"通过","待闭卷复述",IF(Q61&lt;&gt;"通过","待变式核验",IF(V61&lt;&gt;"达标",V61,IF(U60&lt;&gt;"通过","前置未通过","通过"))))))</x:f>
        <x:v>未通过</x:v>
      </x:c>
      <x:c r="V61" s="2" t="str">
        <x:f>IF(R61="","待填证据等级",IF(MATCH(R61,'项目规格与资料'!$B$40:$B$44,0)&gt;=MATCH(K61,'项目规格与资料'!$B$40:$B$44,0),"达标","证据不足"))</x:f>
        <x:v>待填证据等级</x:v>
      </x:c>
    </x:row>
    <x:row r="62" ht="64" customHeight="1">
      <x:c r="A62" s="2" t="n">
        <x:v>56</x:v>
      </x:c>
      <x:c r="B62" s="9" t="str">
        <x:v>S09-05</x:v>
      </x:c>
      <x:c r="C62" s="9" t="str">
        <x:v>S09</x:v>
      </x:c>
      <x:c r="D62" s="10" t="str">
        <x:v>验证一个启动失败出口</x:v>
      </x:c>
      <x:c r="E62" s="10" t="str">
        <x:v>阶段超时、无法抬压、采样异常</x:v>
      </x:c>
      <x:c r="F62" s="10" t="str">
        <x:v>先在PC/模型选一个已定义或待确认异常；记录现有停留/退出；要求缺失不自行当通过。</x:v>
      </x:c>
      <x:c r="G62" s="10" t="str">
        <x:v>故障时间线；当前代码事实与建议处理分开。</x:v>
      </x:c>
      <x:c r="H62" s="10" t="str">
        <x:v>没有达到目标时无限增加启动能量会有什么问题？</x:v>
      </x:c>
      <x:c r="I62" s="16" t="n">
        <x:v>75</x:v>
      </x:c>
      <x:c r="J62" s="10" t="str">
        <x:v>S09-04</x:v>
      </x:c>
      <x:c r="K62" s="10" t="str">
        <x:v>B</x:v>
      </x:c>
      <x:c r="L62" s="10" t="str">
        <x:v>R02 §8–9；R04 §14</x:v>
      </x:c>
      <x:c r="M62" s="13" t="str">
        <x:v>未开始</x:v>
      </x:c>
      <x:c r="N62" s="17"/>
      <x:c r="O62" s="14" t="str"/>
      <x:c r="P62" s="13" t="str">
        <x:v>未做</x:v>
      </x:c>
      <x:c r="Q62" s="13" t="str">
        <x:v>未做</x:v>
      </x:c>
      <x:c r="R62" s="13" t="str"/>
      <x:c r="S62" s="14" t="str"/>
      <x:c r="T62" s="18"/>
      <x:c r="U62" s="9" t="str">
        <x:f>IF(M62&lt;&gt;"完成","未通过",IF(O62="","缺证据位置",IF(P62&lt;&gt;"通过","待闭卷复述",IF(Q62&lt;&gt;"通过","待变式核验",IF(V62&lt;&gt;"达标",V62,IF(U61&lt;&gt;"通过","前置未通过","通过"))))))</x:f>
        <x:v>未通过</x:v>
      </x:c>
      <x:c r="V62" s="9" t="str">
        <x:f>IF(R62="","待填证据等级",IF(MATCH(R62,'项目规格与资料'!$B$40:$B$44,0)&gt;=MATCH(K62,'项目规格与资料'!$B$40:$B$44,0),"达标","证据不足"))</x:f>
        <x:v>待填证据等级</x:v>
      </x:c>
    </x:row>
    <x:row r="63" ht="64" customHeight="1">
      <x:c r="A63" s="2" t="n">
        <x:v>57</x:v>
      </x:c>
      <x:c r="B63" s="2" t="str">
        <x:v>S09-06</x:v>
      </x:c>
      <x:c r="C63" s="2" t="str">
        <x:v>S09</x:v>
      </x:c>
      <x:c r="D63" s="8" t="str">
        <x:v>核对正常停机与快速故障</x:v>
      </x:c>
      <x:c r="E63" s="8" t="str">
        <x:v>减流、封锁、续流、继电器动作</x:v>
      </x:c>
      <x:c r="F63" s="8" t="str">
        <x:v>分别追普通停止与严重故障；标动作时间尺度和残能路径；先做逻辑序列核对。</x:v>
      </x:c>
      <x:c r="G63" s="8" t="str">
        <x:v>两条不同出口及优先级；实机保护能力未测明确标注。</x:v>
      </x:c>
      <x:c r="H63" s="8" t="str">
        <x:v>严重过流能否等待参考缓降到0再关波？</x:v>
      </x:c>
      <x:c r="I63" s="15" t="n">
        <x:v>50</x:v>
      </x:c>
      <x:c r="J63" s="8" t="str">
        <x:v>S09-05</x:v>
      </x:c>
      <x:c r="K63" s="8" t="str">
        <x:v>B</x:v>
      </x:c>
      <x:c r="L63" s="8" t="str">
        <x:v>R11；R02 §8–9</x:v>
      </x:c>
      <x:c r="M63" s="13" t="str">
        <x:v>未开始</x:v>
      </x:c>
      <x:c r="N63" s="17"/>
      <x:c r="O63" s="14" t="str"/>
      <x:c r="P63" s="13" t="str">
        <x:v>未做</x:v>
      </x:c>
      <x:c r="Q63" s="13" t="str">
        <x:v>未做</x:v>
      </x:c>
      <x:c r="R63" s="13" t="str"/>
      <x:c r="S63" s="14" t="str"/>
      <x:c r="T63" s="18"/>
      <x:c r="U63" s="2" t="str">
        <x:f>IF(M63&lt;&gt;"完成","未通过",IF(O63="","缺证据位置",IF(P63&lt;&gt;"通过","待闭卷复述",IF(Q63&lt;&gt;"通过","待变式核验",IF(V63&lt;&gt;"达标",V63,IF(U62&lt;&gt;"通过","前置未通过","通过"))))))</x:f>
        <x:v>未通过</x:v>
      </x:c>
      <x:c r="V63" s="2" t="str">
        <x:f>IF(R63="","待填证据等级",IF(MATCH(R63,'项目规格与资料'!$B$40:$B$44,0)&gt;=MATCH(K63,'项目规格与资料'!$B$40:$B$44,0),"达标","证据不足"))</x:f>
        <x:v>待填证据等级</x:v>
      </x:c>
    </x:row>
    <x:row r="64" ht="64" customHeight="1">
      <x:c r="A64" s="2" t="n">
        <x:v>58</x:v>
      </x:c>
      <x:c r="B64" s="9" t="str">
        <x:v>S09-07</x:v>
      </x:c>
      <x:c r="C64" s="9" t="str">
        <x:v>S09</x:v>
      </x:c>
      <x:c r="D64" s="10" t="str">
        <x:v>检查重复启动的软件历史</x:v>
      </x:c>
      <x:c r="E64" s="10" t="str">
        <x:v>静态计数、PI、滤波、SR状态</x:v>
      </x:c>
      <x:c r="F64" s="10" t="str">
        <x:v>列preNum/preChargeTime/delay/PI等持久状态；在每次打断后重跑相关入口。</x:v>
      </x:c>
      <x:c r="G64" s="10" t="str">
        <x:v>重置清单和一个重复运行对照；不把局部memset当全状态复位。</x:v>
      </x:c>
      <x:c r="H64" s="10" t="str">
        <x:v>重新开始仿真一定会清除DLL内部所有static变量吗？</x:v>
      </x:c>
      <x:c r="I64" s="16" t="n">
        <x:v>75</x:v>
      </x:c>
      <x:c r="J64" s="10" t="str">
        <x:v>S09-06</x:v>
      </x:c>
      <x:c r="K64" s="10" t="str">
        <x:v>B</x:v>
      </x:c>
      <x:c r="L64" s="10" t="str">
        <x:v>R07 PowerIniPidVar/启动函数；R09；R02 §10</x:v>
      </x:c>
      <x:c r="M64" s="13" t="str">
        <x:v>未开始</x:v>
      </x:c>
      <x:c r="N64" s="17"/>
      <x:c r="O64" s="14" t="str"/>
      <x:c r="P64" s="13" t="str">
        <x:v>未做</x:v>
      </x:c>
      <x:c r="Q64" s="13" t="str">
        <x:v>未做</x:v>
      </x:c>
      <x:c r="R64" s="13" t="str"/>
      <x:c r="S64" s="14" t="str"/>
      <x:c r="T64" s="18"/>
      <x:c r="U64" s="9" t="str">
        <x:f>IF(M64&lt;&gt;"完成","未通过",IF(O64="","缺证据位置",IF(P64&lt;&gt;"通过","待闭卷复述",IF(Q64&lt;&gt;"通过","待变式核验",IF(V64&lt;&gt;"达标",V64,IF(U63&lt;&gt;"通过","前置未通过","通过"))))))</x:f>
        <x:v>未通过</x:v>
      </x:c>
      <x:c r="V64" s="9" t="str">
        <x:f>IF(R64="","待填证据等级",IF(MATCH(R64,'项目规格与资料'!$B$40:$B$44,0)&gt;=MATCH(K64,'项目规格与资料'!$B$40:$B$44,0),"达标","证据不足"))</x:f>
        <x:v>待填证据等级</x:v>
      </x:c>
    </x:row>
    <x:row r="65" ht="64" customHeight="1">
      <x:c r="A65" s="2" t="n">
        <x:v>59</x:v>
      </x:c>
      <x:c r="B65" s="2" t="str">
        <x:v>S10-01</x:v>
      </x:c>
      <x:c r="C65" s="2" t="str">
        <x:v>S10</x:v>
      </x:c>
      <x:c r="D65" s="8" t="str">
        <x:v>建立保护分工矩阵</x:v>
      </x:c>
      <x:c r="E65" s="8" t="str">
        <x:v>硬件快保护、周期控制、慢管理</x:v>
      </x:c>
      <x:c r="F65" s="8" t="str">
        <x:v>选原边过流/过温/通信超时三类；列来源、阈值依据、最坏延迟和执行者。</x:v>
      </x:c>
      <x:c r="G65" s="8" t="str">
        <x:v>三条完整故障链；不同故障没有统一套连续三次。</x:v>
      </x:c>
      <x:c r="H65" s="8" t="str">
        <x:v>CPU卡死时哪条保护仍必须能动作？</x:v>
      </x:c>
      <x:c r="I65" s="15" t="n">
        <x:v>50</x:v>
      </x:c>
      <x:c r="J65" s="8" t="str">
        <x:v>S09-07</x:v>
      </x:c>
      <x:c r="K65" s="8" t="str">
        <x:v>A</x:v>
      </x:c>
      <x:c r="L65" s="8" t="str">
        <x:v>R04 §15；R02 §10</x:v>
      </x:c>
      <x:c r="M65" s="13" t="str">
        <x:v>未开始</x:v>
      </x:c>
      <x:c r="N65" s="17"/>
      <x:c r="O65" s="14" t="str"/>
      <x:c r="P65" s="13" t="str">
        <x:v>未做</x:v>
      </x:c>
      <x:c r="Q65" s="13" t="str">
        <x:v>未做</x:v>
      </x:c>
      <x:c r="R65" s="13" t="str"/>
      <x:c r="S65" s="14" t="str"/>
      <x:c r="T65" s="18"/>
      <x:c r="U65" s="2" t="str">
        <x:f>IF(M65&lt;&gt;"完成","未通过",IF(O65="","缺证据位置",IF(P65&lt;&gt;"通过","待闭卷复述",IF(Q65&lt;&gt;"通过","待变式核验",IF(V65&lt;&gt;"达标",V65,IF(U64&lt;&gt;"通过","前置未通过","通过"))))))</x:f>
        <x:v>未通过</x:v>
      </x:c>
      <x:c r="V65" s="2" t="str">
        <x:f>IF(R65="","待填证据等级",IF(MATCH(R65,'项目规格与资料'!$B$40:$B$44,0)&gt;=MATCH(K65,'项目规格与资料'!$B$40:$B$44,0),"达标","证据不足"))</x:f>
        <x:v>待填证据等级</x:v>
      </x:c>
    </x:row>
    <x:row r="66" ht="64" customHeight="1">
      <x:c r="A66" s="2" t="n">
        <x:v>60</x:v>
      </x:c>
      <x:c r="B66" s="9" t="str">
        <x:v>S10-02</x:v>
      </x:c>
      <x:c r="C66" s="9" t="str">
        <x:v>S10</x:v>
      </x:c>
      <x:c r="D66" s="10" t="str">
        <x:v>区分原边与输出过流</x:v>
      </x:c>
      <x:c r="E66" s="10" t="str">
        <x:v>循环电流、继电器条件、快检测</x:v>
      </x:c>
      <x:c r="F66" s="10" t="str">
        <x:v>追SwOCP与HRTIM Fault配置；标RelayOld条件与PLECS_DLL屏蔽；列原边采样缺口。</x:v>
      </x:c>
      <x:c r="G66" s="10" t="str">
        <x:v>代码/硬件路径表；DLL通过不被当作实机过流验证。</x:v>
      </x:c>
      <x:c r="H66" s="10" t="str">
        <x:v>Ibat=0但Ir很大，输出软件限流能单独兜住吗？</x:v>
      </x:c>
      <x:c r="I66" s="16" t="n">
        <x:v>50</x:v>
      </x:c>
      <x:c r="J66" s="10" t="str">
        <x:v>S10-01</x:v>
      </x:c>
      <x:c r="K66" s="10" t="str">
        <x:v>A</x:v>
      </x:c>
      <x:c r="L66" s="10" t="str">
        <x:v>R11；R10；R02 §10</x:v>
      </x:c>
      <x:c r="M66" s="13" t="str">
        <x:v>未开始</x:v>
      </x:c>
      <x:c r="N66" s="17"/>
      <x:c r="O66" s="14" t="str"/>
      <x:c r="P66" s="13" t="str">
        <x:v>未做</x:v>
      </x:c>
      <x:c r="Q66" s="13" t="str">
        <x:v>未做</x:v>
      </x:c>
      <x:c r="R66" s="13" t="str"/>
      <x:c r="S66" s="14" t="str"/>
      <x:c r="T66" s="18"/>
      <x:c r="U66" s="9" t="str">
        <x:f>IF(M66&lt;&gt;"完成","未通过",IF(O66="","缺证据位置",IF(P66&lt;&gt;"通过","待闭卷复述",IF(Q66&lt;&gt;"通过","待变式核验",IF(V66&lt;&gt;"达标",V66,IF(U65&lt;&gt;"通过","前置未通过","通过"))))))</x:f>
        <x:v>未通过</x:v>
      </x:c>
      <x:c r="V66" s="9" t="str">
        <x:f>IF(R66="","待填证据等级",IF(MATCH(R66,'项目规格与资料'!$B$40:$B$44,0)&gt;=MATCH(K66,'项目规格与资料'!$B$40:$B$44,0),"达标","证据不足"))</x:f>
        <x:v>待填证据等级</x:v>
      </x:c>
    </x:row>
    <x:row r="67" ht="64" customHeight="1">
      <x:c r="A67" s="2" t="n">
        <x:v>61</x:v>
      </x:c>
      <x:c r="B67" s="2" t="str">
        <x:v>S10-03</x:v>
      </x:c>
      <x:c r="C67" s="2" t="str">
        <x:v>S10</x:v>
      </x:c>
      <x:c r="D67" s="8" t="str">
        <x:v>验证反馈与命令异常</x:v>
      </x:c>
      <x:c r="E67" s="8" t="str">
        <x:v>无效、过期、符号、量程和通信</x:v>
      </x:c>
      <x:c r="F67" s="8" t="str">
        <x:v>选一条采样或请求，注入失效序列；观察积分、模式与输出许可。</x:v>
      </x:c>
      <x:c r="G67" s="8" t="str">
        <x:v>异常输入和预期/实际动作记录；数据不可信没有被静默当零。</x:v>
      </x:c>
      <x:c r="H67" s="8" t="str">
        <x:v>数值未变与旧报文重放，如何区分？</x:v>
      </x:c>
      <x:c r="I67" s="15" t="n">
        <x:v>75</x:v>
      </x:c>
      <x:c r="J67" s="8" t="str">
        <x:v>S10-02</x:v>
      </x:c>
      <x:c r="K67" s="8" t="str">
        <x:v>B</x:v>
      </x:c>
      <x:c r="L67" s="8" t="str">
        <x:v>R04 §8、§16；R06 P1/P3</x:v>
      </x:c>
      <x:c r="M67" s="13" t="str">
        <x:v>未开始</x:v>
      </x:c>
      <x:c r="N67" s="17"/>
      <x:c r="O67" s="14" t="str"/>
      <x:c r="P67" s="13" t="str">
        <x:v>未做</x:v>
      </x:c>
      <x:c r="Q67" s="13" t="str">
        <x:v>未做</x:v>
      </x:c>
      <x:c r="R67" s="13" t="str"/>
      <x:c r="S67" s="14" t="str"/>
      <x:c r="T67" s="18"/>
      <x:c r="U67" s="2" t="str">
        <x:f>IF(M67&lt;&gt;"完成","未通过",IF(O67="","缺证据位置",IF(P67&lt;&gt;"通过","待闭卷复述",IF(Q67&lt;&gt;"通过","待变式核验",IF(V67&lt;&gt;"达标",V67,IF(U66&lt;&gt;"通过","前置未通过","通过"))))))</x:f>
        <x:v>未通过</x:v>
      </x:c>
      <x:c r="V67" s="2" t="str">
        <x:f>IF(R67="","待填证据等级",IF(MATCH(R67,'项目规格与资料'!$B$40:$B$44,0)&gt;=MATCH(K67,'项目规格与资料'!$B$40:$B$44,0),"达标","证据不足"))</x:f>
        <x:v>待填证据等级</x:v>
      </x:c>
    </x:row>
    <x:row r="68" ht="64" customHeight="1">
      <x:c r="A68" s="2" t="n">
        <x:v>62</x:v>
      </x:c>
      <x:c r="B68" s="9" t="str">
        <x:v>S10-04</x:v>
      </x:c>
      <x:c r="C68" s="9" t="str">
        <x:v>S10</x:v>
      </x:c>
      <x:c r="D68" s="10" t="str">
        <x:v>核对复位和故障优先级</x:v>
      </x:c>
      <x:c r="E68" s="10" t="str">
        <x:v>复位默认态、看门狗、门极封锁</x:v>
      </x:c>
      <x:c r="F68" s="10" t="str">
        <x:v>先纸面/PC核对故障与控制同时到达、复位及调试暂停的设计要求；列逻辑测试计划。</x:v>
      </x:c>
      <x:c r="G68" s="10" t="str">
        <x:v>事件优先级表及缺失依据；未做MCU测试不标C。</x:v>
      </x:c>
      <x:c r="H68" s="10" t="str">
        <x:v>程序显示OFF是否等于浮动高侧MOSFET已关？</x:v>
      </x:c>
      <x:c r="I68" s="16" t="n">
        <x:v>50</x:v>
      </x:c>
      <x:c r="J68" s="10" t="str">
        <x:v>S10-03</x:v>
      </x:c>
      <x:c r="K68" s="10" t="str">
        <x:v>A</x:v>
      </x:c>
      <x:c r="L68" s="10" t="str">
        <x:v>R10；R04 §15</x:v>
      </x:c>
      <x:c r="M68" s="13" t="str">
        <x:v>未开始</x:v>
      </x:c>
      <x:c r="N68" s="17"/>
      <x:c r="O68" s="14" t="str"/>
      <x:c r="P68" s="13" t="str">
        <x:v>未做</x:v>
      </x:c>
      <x:c r="Q68" s="13" t="str">
        <x:v>未做</x:v>
      </x:c>
      <x:c r="R68" s="13" t="str"/>
      <x:c r="S68" s="14" t="str"/>
      <x:c r="T68" s="18"/>
      <x:c r="U68" s="9" t="str">
        <x:f>IF(M68&lt;&gt;"完成","未通过",IF(O68="","缺证据位置",IF(P68&lt;&gt;"通过","待闭卷复述",IF(Q68&lt;&gt;"通过","待变式核验",IF(V68&lt;&gt;"达标",V68,IF(U67&lt;&gt;"通过","前置未通过","通过"))))))</x:f>
        <x:v>未通过</x:v>
      </x:c>
      <x:c r="V68" s="9" t="str">
        <x:f>IF(R68="","待填证据等级",IF(MATCH(R68,'项目规格与资料'!$B$40:$B$44,0)&gt;=MATCH(K68,'项目规格与资料'!$B$40:$B$44,0),"达标","证据不足"))</x:f>
        <x:v>待填证据等级</x:v>
      </x:c>
    </x:row>
    <x:row r="69" ht="64" customHeight="1">
      <x:c r="A69" s="2" t="n">
        <x:v>63</x:v>
      </x:c>
      <x:c r="B69" s="2" t="str">
        <x:v>S10-05</x:v>
      </x:c>
      <x:c r="C69" s="2" t="str">
        <x:v>S10</x:v>
      </x:c>
      <x:c r="D69" s="8" t="str">
        <x:v>分析执行器异常</x:v>
      </x:c>
      <x:c r="E69" s="8" t="str">
        <x:v>继电器拒动/粘连、泄放与SR误开</x:v>
      </x:c>
      <x:c r="F69" s="8" t="str">
        <x:v>选择一个相关故障建行为模型或分析路径；记录如何识别并禁止继续升功率。</x:v>
      </x:c>
      <x:c r="G69" s="8" t="str">
        <x:v>一个可复现异常或明确未建项；不把理想软件继电器当真实触点。</x:v>
      </x:c>
      <x:c r="H69" s="8" t="str">
        <x:v>继电器粘连时泄放会不会持续耗电池？</x:v>
      </x:c>
      <x:c r="I69" s="15" t="n">
        <x:v>75</x:v>
      </x:c>
      <x:c r="J69" s="8" t="str">
        <x:v>S10-04</x:v>
      </x:c>
      <x:c r="K69" s="8" t="str">
        <x:v>B</x:v>
      </x:c>
      <x:c r="L69" s="8" t="str">
        <x:v>R02 §9；R04 §13–15</x:v>
      </x:c>
      <x:c r="M69" s="13" t="str">
        <x:v>未开始</x:v>
      </x:c>
      <x:c r="N69" s="17"/>
      <x:c r="O69" s="14" t="str"/>
      <x:c r="P69" s="13" t="str">
        <x:v>未做</x:v>
      </x:c>
      <x:c r="Q69" s="13" t="str">
        <x:v>未做</x:v>
      </x:c>
      <x:c r="R69" s="13" t="str"/>
      <x:c r="S69" s="14" t="str"/>
      <x:c r="T69" s="18"/>
      <x:c r="U69" s="2" t="str">
        <x:f>IF(M69&lt;&gt;"完成","未通过",IF(O69="","缺证据位置",IF(P69&lt;&gt;"通过","待闭卷复述",IF(Q69&lt;&gt;"通过","待变式核验",IF(V69&lt;&gt;"达标",V69,IF(U68&lt;&gt;"通过","前置未通过","通过"))))))</x:f>
        <x:v>未通过</x:v>
      </x:c>
      <x:c r="V69" s="2" t="str">
        <x:f>IF(R69="","待填证据等级",IF(MATCH(R69,'项目规格与资料'!$B$40:$B$44,0)&gt;=MATCH(K69,'项目规格与资料'!$B$40:$B$44,0),"达标","证据不足"))</x:f>
        <x:v>待填证据等级</x:v>
      </x:c>
    </x:row>
    <x:row r="70" ht="64" customHeight="1">
      <x:c r="A70" s="2" t="n">
        <x:v>64</x:v>
      </x:c>
      <x:c r="B70" s="9" t="str">
        <x:v>S10-06</x:v>
      </x:c>
      <x:c r="C70" s="9" t="str">
        <x:v>S10</x:v>
      </x:c>
      <x:c r="D70" s="10" t="str">
        <x:v>定义恢复与重试约束</x:v>
      </x:c>
      <x:c r="E70" s="10" t="str">
        <x:v>锁存、复位权限、冷却和残态</x:v>
      </x:c>
      <x:c r="F70" s="10" t="str">
        <x:v>对上面三类故障分别写恢复条件、重试次数/间隔来源和重新准入；未规定值列待确认。</x:v>
      </x:c>
      <x:c r="G70" s="10" t="str">
        <x:v>恢复表加一条异常重入序列；严重故障没有无条件无限重试。</x:v>
      </x:c>
      <x:c r="H70" s="10" t="str">
        <x:v>故障撤销是否自动意味着可恢复大功率输出？</x:v>
      </x:c>
      <x:c r="I70" s="16" t="n">
        <x:v>50</x:v>
      </x:c>
      <x:c r="J70" s="10" t="str">
        <x:v>S10-05</x:v>
      </x:c>
      <x:c r="K70" s="10" t="str">
        <x:v>B</x:v>
      </x:c>
      <x:c r="L70" s="10" t="str">
        <x:v>R02 §8–9；R04 §15.2</x:v>
      </x:c>
      <x:c r="M70" s="13" t="str">
        <x:v>未开始</x:v>
      </x:c>
      <x:c r="N70" s="17"/>
      <x:c r="O70" s="14" t="str"/>
      <x:c r="P70" s="13" t="str">
        <x:v>未做</x:v>
      </x:c>
      <x:c r="Q70" s="13" t="str">
        <x:v>未做</x:v>
      </x:c>
      <x:c r="R70" s="13" t="str"/>
      <x:c r="S70" s="14" t="str"/>
      <x:c r="T70" s="18"/>
      <x:c r="U70" s="9" t="str">
        <x:f>IF(M70&lt;&gt;"完成","未通过",IF(O70="","缺证据位置",IF(P70&lt;&gt;"通过","待闭卷复述",IF(Q70&lt;&gt;"通过","待变式核验",IF(V70&lt;&gt;"达标",V70,IF(U69&lt;&gt;"通过","前置未通过","通过"))))))</x:f>
        <x:v>未通过</x:v>
      </x:c>
      <x:c r="V70" s="9" t="str">
        <x:f>IF(R70="","待填证据等级",IF(MATCH(R70,'项目规格与资料'!$B$40:$B$44,0)&gt;=MATCH(K70,'项目规格与资料'!$B$40:$B$44,0),"达标","证据不足"))</x:f>
        <x:v>待填证据等级</x:v>
      </x:c>
    </x:row>
    <x:row r="71" ht="64" customHeight="1">
      <x:c r="A71" s="2" t="n">
        <x:v>65</x:v>
      </x:c>
      <x:c r="B71" s="2" t="str">
        <x:v>S11-01</x:v>
      </x:c>
      <x:c r="C71" s="2" t="str">
        <x:v>S11</x:v>
      </x:c>
      <x:c r="D71" s="8" t="str">
        <x:v>识别图腾柱PFC功率路径</x:v>
      </x:c>
      <x:c r="E71" s="8" t="str">
        <x:v>快慢桥臂、整流、升压与母线</x:v>
      </x:c>
      <x:c r="F71" s="8" t="str">
        <x:v>对照实际图标交流输入、桥臂、电感、母线及预充；先学正常半周路径。</x:v>
      </x:c>
      <x:c r="G71" s="8" t="str">
        <x:v>一张PFC功能图；不把LLC输入范围当整机AC范围。</x:v>
      </x:c>
      <x:c r="H71" s="8" t="str">
        <x:v>380～420V母线能推出整机最低AC输入吗？</x:v>
      </x:c>
      <x:c r="I71" s="15" t="n">
        <x:v>50</x:v>
      </x:c>
      <x:c r="J71" s="8" t="str">
        <x:v>S10-06</x:v>
      </x:c>
      <x:c r="K71" s="8" t="str">
        <x:v>A</x:v>
      </x:c>
      <x:c r="L71" s="8" t="str">
        <x:v>R01；R06 §7.3</x:v>
      </x:c>
      <x:c r="M71" s="13" t="str">
        <x:v>未开始</x:v>
      </x:c>
      <x:c r="N71" s="17"/>
      <x:c r="O71" s="14" t="str"/>
      <x:c r="P71" s="13" t="str">
        <x:v>未做</x:v>
      </x:c>
      <x:c r="Q71" s="13" t="str">
        <x:v>未做</x:v>
      </x:c>
      <x:c r="R71" s="13" t="str"/>
      <x:c r="S71" s="14" t="str"/>
      <x:c r="T71" s="18"/>
      <x:c r="U71" s="2" t="str">
        <x:f>IF(M71&lt;&gt;"完成","未通过",IF(O71="","缺证据位置",IF(P71&lt;&gt;"通过","待闭卷复述",IF(Q71&lt;&gt;"通过","待变式核验",IF(V71&lt;&gt;"达标",V71,IF(U70&lt;&gt;"通过","前置未通过","通过"))))))</x:f>
        <x:v>未通过</x:v>
      </x:c>
      <x:c r="V71" s="2" t="str">
        <x:f>IF(R71="","待填证据等级",IF(MATCH(R71,'项目规格与资料'!$B$40:$B$44,0)&gt;=MATCH(K71,'项目规格与资料'!$B$40:$B$44,0),"达标","证据不足"))</x:f>
        <x:v>待填证据等级</x:v>
      </x:c>
    </x:row>
    <x:row r="72" ht="64" customHeight="1">
      <x:c r="A72" s="2" t="n">
        <x:v>66</x:v>
      </x:c>
      <x:c r="B72" s="9" t="str">
        <x:v>S11-02</x:v>
      </x:c>
      <x:c r="C72" s="9" t="str">
        <x:v>S11</x:v>
      </x:c>
      <x:c r="D72" s="10" t="str">
        <x:v>理解PFC控制分工</x:v>
      </x:c>
      <x:c r="E72" s="10" t="str">
        <x:v>母线外环、输入电流内环与参考</x:v>
      </x:c>
      <x:c r="F72" s="10" t="str">
        <x:v>追现有PFC接口或公开定义；标测量与执行量；区分两环与充电CC/CV。</x:v>
      </x:c>
      <x:c r="G72" s="10" t="str">
        <x:v>控制分工图和当前可核实函数/库接口；黑盒内部未知。</x:v>
      </x:c>
      <x:c r="H72" s="10" t="str">
        <x:v>PFC两环与LLC的CC/CV是不是同一概念？</x:v>
      </x:c>
      <x:c r="I72" s="16" t="n">
        <x:v>75</x:v>
      </x:c>
      <x:c r="J72" s="10" t="str">
        <x:v>S11-01</x:v>
      </x:c>
      <x:c r="K72" s="10" t="str">
        <x:v>A</x:v>
      </x:c>
      <x:c r="L72" s="10" t="str">
        <x:v>R06 §7.3；R01</x:v>
      </x:c>
      <x:c r="M72" s="13" t="str">
        <x:v>未开始</x:v>
      </x:c>
      <x:c r="N72" s="17"/>
      <x:c r="O72" s="14" t="str"/>
      <x:c r="P72" s="13" t="str">
        <x:v>未做</x:v>
      </x:c>
      <x:c r="Q72" s="13" t="str">
        <x:v>未做</x:v>
      </x:c>
      <x:c r="R72" s="13" t="str"/>
      <x:c r="S72" s="14" t="str"/>
      <x:c r="T72" s="18"/>
      <x:c r="U72" s="9" t="str">
        <x:f>IF(M72&lt;&gt;"完成","未通过",IF(O72="","缺证据位置",IF(P72&lt;&gt;"通过","待闭卷复述",IF(Q72&lt;&gt;"通过","待变式核验",IF(V72&lt;&gt;"达标",V72,IF(U71&lt;&gt;"通过","前置未通过","通过"))))))</x:f>
        <x:v>未通过</x:v>
      </x:c>
      <x:c r="V72" s="9" t="str">
        <x:f>IF(R72="","待填证据等级",IF(MATCH(R72,'项目规格与资料'!$B$40:$B$44,0)&gt;=MATCH(K72,'项目规格与资料'!$B$40:$B$44,0),"达标","证据不足"))</x:f>
        <x:v>待填证据等级</x:v>
      </x:c>
    </x:row>
    <x:row r="73" ht="64" customHeight="1">
      <x:c r="A73" s="2" t="n">
        <x:v>67</x:v>
      </x:c>
      <x:c r="B73" s="2" t="str">
        <x:v>S11-03</x:v>
      </x:c>
      <x:c r="C73" s="2" t="str">
        <x:v>S11</x:v>
      </x:c>
      <x:c r="D73" s="8" t="str">
        <x:v>认识过零与PFC运行阶段</x:v>
      </x:c>
      <x:c r="E73" s="8" t="str">
        <x:v>交流极性、桥臂交接、就绪状态</x:v>
      </x:c>
      <x:c r="F73" s="8" t="str">
        <x:v>从代码/已有波形找一个过零或启动阶段；标许可、状态和所需验证信号。</x:v>
      </x:c>
      <x:c r="G73" s="8" t="str">
        <x:v>一段时序或待测清单；不在陌生实机尝试过零参数。</x:v>
      </x:c>
      <x:c r="H73" s="8" t="str">
        <x:v>母线暂时到400V是否证明PFC已可持续供额定功率？</x:v>
      </x:c>
      <x:c r="I73" s="15" t="n">
        <x:v>50</x:v>
      </x:c>
      <x:c r="J73" s="8" t="str">
        <x:v>S11-02</x:v>
      </x:c>
      <x:c r="K73" s="8" t="str">
        <x:v>A</x:v>
      </x:c>
      <x:c r="L73" s="8" t="str">
        <x:v>R06 P3；实际PFC源码/图</x:v>
      </x:c>
      <x:c r="M73" s="13" t="str">
        <x:v>未开始</x:v>
      </x:c>
      <x:c r="N73" s="17"/>
      <x:c r="O73" s="14" t="str"/>
      <x:c r="P73" s="13" t="str">
        <x:v>未做</x:v>
      </x:c>
      <x:c r="Q73" s="13" t="str">
        <x:v>未做</x:v>
      </x:c>
      <x:c r="R73" s="13" t="str"/>
      <x:c r="S73" s="14" t="str"/>
      <x:c r="T73" s="18"/>
      <x:c r="U73" s="2" t="str">
        <x:f>IF(M73&lt;&gt;"完成","未通过",IF(O73="","缺证据位置",IF(P73&lt;&gt;"通过","待闭卷复述",IF(Q73&lt;&gt;"通过","待变式核验",IF(V73&lt;&gt;"达标",V73,IF(U72&lt;&gt;"通过","前置未通过","通过"))))))</x:f>
        <x:v>未通过</x:v>
      </x:c>
      <x:c r="V73" s="2" t="str">
        <x:f>IF(R73="","待填证据等级",IF(MATCH(R73,'项目规格与资料'!$B$40:$B$44,0)&gt;=MATCH(K73,'项目规格与资料'!$B$40:$B$44,0),"达标","证据不足"))</x:f>
        <x:v>待填证据等级</x:v>
      </x:c>
    </x:row>
    <x:row r="74" ht="64" customHeight="1">
      <x:c r="A74" s="2" t="n">
        <x:v>68</x:v>
      </x:c>
      <x:c r="B74" s="9" t="str">
        <x:v>S11-04</x:v>
      </x:c>
      <x:c r="C74" s="9" t="str">
        <x:v>S11</x:v>
      </x:c>
      <x:c r="D74" s="10" t="str">
        <x:v>建立PFC与LLC运行契约</x:v>
      </x:c>
      <x:c r="E74" s="10" t="str">
        <x:v>PFC_ok、Vbus、掉电与故障传播</x:v>
      </x:c>
      <x:c r="F74" s="10" t="str">
        <x:v>追就绪/撤销到LLC许可；列母线反馈、恢复稳定条件和停机责任；做一个接口序列。</x:v>
      </x:c>
      <x:c r="G74" s="10" t="str">
        <x:v>请求/实际状态表；PFC_ok没有被当作Vbus测量值。</x:v>
      </x:c>
      <x:c r="H74" s="10" t="str">
        <x:v>LLC快DLL没有Vbus输入时，能验证母线OVP吗？</x:v>
      </x:c>
      <x:c r="I74" s="16" t="n">
        <x:v>75</x:v>
      </x:c>
      <x:c r="J74" s="10" t="str">
        <x:v>S11-03</x:v>
      </x:c>
      <x:c r="K74" s="10" t="str">
        <x:v>B</x:v>
      </x:c>
      <x:c r="L74" s="10" t="str">
        <x:v>R11；R09；R01 §2</x:v>
      </x:c>
      <x:c r="M74" s="13" t="str">
        <x:v>未开始</x:v>
      </x:c>
      <x:c r="N74" s="17"/>
      <x:c r="O74" s="14" t="str"/>
      <x:c r="P74" s="13" t="str">
        <x:v>未做</x:v>
      </x:c>
      <x:c r="Q74" s="13" t="str">
        <x:v>未做</x:v>
      </x:c>
      <x:c r="R74" s="13" t="str"/>
      <x:c r="S74" s="14" t="str"/>
      <x:c r="T74" s="18"/>
      <x:c r="U74" s="9" t="str">
        <x:f>IF(M74&lt;&gt;"完成","未通过",IF(O74="","缺证据位置",IF(P74&lt;&gt;"通过","待闭卷复述",IF(Q74&lt;&gt;"通过","待变式核验",IF(V74&lt;&gt;"达标",V74,IF(U73&lt;&gt;"通过","前置未通过","通过"))))))</x:f>
        <x:v>未通过</x:v>
      </x:c>
      <x:c r="V74" s="9" t="str">
        <x:f>IF(R74="","待填证据等级",IF(MATCH(R74,'项目规格与资料'!$B$40:$B$44,0)&gt;=MATCH(K74,'项目规格与资料'!$B$40:$B$44,0),"达标","证据不足"))</x:f>
        <x:v>待填证据等级</x:v>
      </x:c>
    </x:row>
    <x:row r="75" ht="64" customHeight="1">
      <x:c r="A75" s="2" t="n">
        <x:v>69</x:v>
      </x:c>
      <x:c r="B75" s="2" t="str">
        <x:v>S11-05</x:v>
      </x:c>
      <x:c r="C75" s="2" t="str">
        <x:v>S11</x:v>
      </x:c>
      <x:c r="D75" s="8" t="str">
        <x:v>核对整机功率降额</x:v>
      </x:c>
      <x:c r="E75" s="8" t="str">
        <x:v>AC能力、温度、输出电压和电流上限</x:v>
      </x:c>
      <x:c r="F75" s="8" t="str">
        <x:v>将当前代码限值与规格表对齐；算几个Vbat×I点；列连续/峰值、温升和PFC能力未知项。</x:v>
      </x:c>
      <x:c r="G75" s="8" t="str">
        <x:v>工作点功率表及来源；没有用项目名称替代能力曲线。</x:v>
      </x:c>
      <x:c r="H75" s="8" t="str">
        <x:v>为何30V与60V不一定都可持续1600W？</x:v>
      </x:c>
      <x:c r="I75" s="15" t="n">
        <x:v>50</x:v>
      </x:c>
      <x:c r="J75" s="8" t="str">
        <x:v>S11-04</x:v>
      </x:c>
      <x:c r="K75" s="8" t="str">
        <x:v>B</x:v>
      </x:c>
      <x:c r="L75" s="8" t="str">
        <x:v>R07 RefRampPfmCurr；R01 §2</x:v>
      </x:c>
      <x:c r="M75" s="13" t="str">
        <x:v>未开始</x:v>
      </x:c>
      <x:c r="N75" s="17"/>
      <x:c r="O75" s="14" t="str"/>
      <x:c r="P75" s="13" t="str">
        <x:v>未做</x:v>
      </x:c>
      <x:c r="Q75" s="13" t="str">
        <x:v>未做</x:v>
      </x:c>
      <x:c r="R75" s="13" t="str"/>
      <x:c r="S75" s="14" t="str"/>
      <x:c r="T75" s="18"/>
      <x:c r="U75" s="2" t="str">
        <x:f>IF(M75&lt;&gt;"完成","未通过",IF(O75="","缺证据位置",IF(P75&lt;&gt;"通过","待闭卷复述",IF(Q75&lt;&gt;"通过","待变式核验",IF(V75&lt;&gt;"达标",V75,IF(U74&lt;&gt;"通过","前置未通过","通过"))))))</x:f>
        <x:v>未通过</x:v>
      </x:c>
      <x:c r="V75" s="2" t="str">
        <x:f>IF(R75="","待填证据等级",IF(MATCH(R75,'项目规格与资料'!$B$40:$B$44,0)&gt;=MATCH(K75,'项目规格与资料'!$B$40:$B$44,0),"达标","证据不足"))</x:f>
        <x:v>待填证据等级</x:v>
      </x:c>
    </x:row>
    <x:row r="76" ht="64" customHeight="1">
      <x:c r="A76" s="2" t="n">
        <x:v>70</x:v>
      </x:c>
      <x:c r="B76" s="9" t="str">
        <x:v>S11-06</x:v>
      </x:c>
      <x:c r="C76" s="9" t="str">
        <x:v>S11</x:v>
      </x:c>
      <x:c r="D76" s="10" t="str">
        <x:v>核对整机请求与停止接口</x:v>
      </x:c>
      <x:c r="E76" s="10" t="str">
        <x:v>BMS/PMS、超时、更新与控制许可</x:v>
      </x:c>
      <x:c r="F76" s="10" t="str">
        <x:v>追一个请求到快环及一个通信超时；在允许环境做PC/接口序列，核对快照与优先级。</x:v>
      </x:c>
      <x:c r="G76" s="10" t="str">
        <x:v>一条端到端序列；升级/故障时输出互锁列明。</x:v>
      </x:c>
      <x:c r="H76" s="10" t="str">
        <x:v>旧充电请求在复位后保留，是否应直接恢复？</x:v>
      </x:c>
      <x:c r="I76" s="16" t="n">
        <x:v>75</x:v>
      </x:c>
      <x:c r="J76" s="10" t="str">
        <x:v>S11-05</x:v>
      </x:c>
      <x:c r="K76" s="10" t="str">
        <x:v>B</x:v>
      </x:c>
      <x:c r="L76" s="10" t="str">
        <x:v>R09；R06 P3</x:v>
      </x:c>
      <x:c r="M76" s="13" t="str">
        <x:v>未开始</x:v>
      </x:c>
      <x:c r="N76" s="17"/>
      <x:c r="O76" s="14" t="str"/>
      <x:c r="P76" s="13" t="str">
        <x:v>未做</x:v>
      </x:c>
      <x:c r="Q76" s="13" t="str">
        <x:v>未做</x:v>
      </x:c>
      <x:c r="R76" s="13" t="str"/>
      <x:c r="S76" s="14" t="str"/>
      <x:c r="T76" s="18"/>
      <x:c r="U76" s="9" t="str">
        <x:f>IF(M76&lt;&gt;"完成","未通过",IF(O76="","缺证据位置",IF(P76&lt;&gt;"通过","待闭卷复述",IF(Q76&lt;&gt;"通过","待变式核验",IF(V76&lt;&gt;"达标",V76,IF(U75&lt;&gt;"通过","前置未通过","通过"))))))</x:f>
        <x:v>未通过</x:v>
      </x:c>
      <x:c r="V76" s="9" t="str">
        <x:f>IF(R76="","待填证据等级",IF(MATCH(R76,'项目规格与资料'!$B$40:$B$44,0)&gt;=MATCH(K76,'项目规格与资料'!$B$40:$B$44,0),"达标","证据不足"))</x:f>
        <x:v>待填证据等级</x:v>
      </x:c>
    </x:row>
    <x:row r="77" ht="64" customHeight="1">
      <x:c r="A77" s="2" t="n">
        <x:v>71</x:v>
      </x:c>
      <x:c r="B77" s="2" t="str">
        <x:v>S12-01</x:v>
      </x:c>
      <x:c r="C77" s="2" t="str">
        <x:v>S12</x:v>
      </x:c>
      <x:c r="D77" s="8" t="str">
        <x:v>建立参数与依据登记</x:v>
      </x:c>
      <x:c r="E77" s="8" t="str">
        <x:v>单位、Ts、版本、范围、标定与设计来源</x:v>
      </x:c>
      <x:c r="F77" s="8" t="str">
        <x:v>整理当前实际用到的关键参数；每项填来源、用途、允许变更和未知；复核计算书缺口。</x:v>
      </x:c>
      <x:c r="G77" s="8" t="str">
        <x:v>一张参数登记表；PI/SR原设计理由未知没有被编造。</x:v>
      </x:c>
      <x:c r="H77" s="8" t="str">
        <x:v>改变Ts或磁件版本后，哪些参数必须重核？</x:v>
      </x:c>
      <x:c r="I77" s="15" t="n">
        <x:v>75</x:v>
      </x:c>
      <x:c r="J77" s="8" t="str">
        <x:v>S11-06</x:v>
      </x:c>
      <x:c r="K77" s="8" t="str">
        <x:v>A</x:v>
      </x:c>
      <x:c r="L77" s="8" t="str">
        <x:v>R01；R06 T24/T34</x:v>
      </x:c>
      <x:c r="M77" s="13" t="str">
        <x:v>未开始</x:v>
      </x:c>
      <x:c r="N77" s="17"/>
      <x:c r="O77" s="14" t="str"/>
      <x:c r="P77" s="13" t="str">
        <x:v>未做</x:v>
      </x:c>
      <x:c r="Q77" s="13" t="str">
        <x:v>未做</x:v>
      </x:c>
      <x:c r="R77" s="13" t="str"/>
      <x:c r="S77" s="14" t="str"/>
      <x:c r="T77" s="18"/>
      <x:c r="U77" s="2" t="str">
        <x:f>IF(M77&lt;&gt;"完成","未通过",IF(O77="","缺证据位置",IF(P77&lt;&gt;"通过","待闭卷复述",IF(Q77&lt;&gt;"通过","待变式核验",IF(V77&lt;&gt;"达标",V77,IF(U76&lt;&gt;"通过","前置未通过","通过"))))))</x:f>
        <x:v>未通过</x:v>
      </x:c>
      <x:c r="V77" s="2" t="str">
        <x:f>IF(R77="","待填证据等级",IF(MATCH(R77,'项目规格与资料'!$B$40:$B$44,0)&gt;=MATCH(K77,'项目规格与资料'!$B$40:$B$44,0),"达标","证据不足"))</x:f>
        <x:v>待填证据等级</x:v>
      </x:c>
    </x:row>
    <x:row r="78" ht="64" customHeight="1">
      <x:c r="A78" s="2" t="n">
        <x:v>72</x:v>
      </x:c>
      <x:c r="B78" s="9" t="str">
        <x:v>S12-02</x:v>
      </x:c>
      <x:c r="C78" s="9" t="str">
        <x:v>S12</x:v>
      </x:c>
      <x:c r="D78" s="10" t="str">
        <x:v>形成分层回归矩阵</x:v>
      </x:c>
      <x:c r="E78" s="10" t="str">
        <x:v>需求到逻辑、模型、时序和实机证据</x:v>
      </x:c>
      <x:c r="F78" s="10" t="str">
        <x:v>汇总已有记录；按母线/电池/负载/初态/模式选规定覆盖；记录未测而非一律通过。</x:v>
      </x:c>
      <x:c r="G78" s="10" t="str">
        <x:v>需求—用例—判据—证据关系；一个已修问题有回归项。</x:v>
      </x:c>
      <x:c r="H78" s="10" t="str">
        <x:v>只测最终Vo达标为什么不足以验收启动？</x:v>
      </x:c>
      <x:c r="I78" s="16" t="n">
        <x:v>75</x:v>
      </x:c>
      <x:c r="J78" s="10" t="str">
        <x:v>S12-01</x:v>
      </x:c>
      <x:c r="K78" s="10" t="str">
        <x:v>B</x:v>
      </x:c>
      <x:c r="L78" s="10" t="str">
        <x:v>R02 §11；R04 §18</x:v>
      </x:c>
      <x:c r="M78" s="13" t="str">
        <x:v>未开始</x:v>
      </x:c>
      <x:c r="N78" s="17"/>
      <x:c r="O78" s="14" t="str"/>
      <x:c r="P78" s="13" t="str">
        <x:v>未做</x:v>
      </x:c>
      <x:c r="Q78" s="13" t="str">
        <x:v>未做</x:v>
      </x:c>
      <x:c r="R78" s="13" t="str"/>
      <x:c r="S78" s="14" t="str"/>
      <x:c r="T78" s="18"/>
      <x:c r="U78" s="9" t="str">
        <x:f>IF(M78&lt;&gt;"完成","未通过",IF(O78="","缺证据位置",IF(P78&lt;&gt;"通过","待闭卷复述",IF(Q78&lt;&gt;"通过","待变式核验",IF(V78&lt;&gt;"达标",V78,IF(U77&lt;&gt;"通过","前置未通过","通过"))))))</x:f>
        <x:v>未通过</x:v>
      </x:c>
      <x:c r="V78" s="9" t="str">
        <x:f>IF(R78="","待填证据等级",IF(MATCH(R78,'项目规格与资料'!$B$40:$B$44,0)&gt;=MATCH(K78,'项目规格与资料'!$B$40:$B$44,0),"达标","证据不足"))</x:f>
        <x:v>待填证据等级</x:v>
      </x:c>
    </x:row>
    <x:row r="79" ht="64" customHeight="1">
      <x:c r="A79" s="2" t="n">
        <x:v>73</x:v>
      </x:c>
      <x:c r="B79" s="2" t="str">
        <x:v>S12-03</x:v>
      </x:c>
      <x:c r="C79" s="2" t="str">
        <x:v>S12</x:v>
      </x:c>
      <x:c r="D79" s="8" t="str">
        <x:v>完成一次有证据的定位</x:v>
      </x:c>
      <x:c r="E79" s="8" t="str">
        <x:v>预测、排除、根因与修复范围</x:v>
      </x:c>
      <x:c r="F79" s="8" t="str">
        <x:v>选已有模型/代码差异；先列两种解释；做一个能区分的检查；保留失败候选。</x:v>
      </x:c>
      <x:c r="G79" s="8" t="str">
        <x:v>复现、证据、结论与回归；根因不足则保持未确认。</x:v>
      </x:c>
      <x:c r="H79" s="8" t="str">
        <x:v>第二个AI赞同你的判断，能否作为根因证据？</x:v>
      </x:c>
      <x:c r="I79" s="15" t="n">
        <x:v>100</x:v>
      </x:c>
      <x:c r="J79" s="8" t="str">
        <x:v>S12-02</x:v>
      </x:c>
      <x:c r="K79" s="8" t="str">
        <x:v>B</x:v>
      </x:c>
      <x:c r="L79" s="8" t="str">
        <x:v>R03 §5、§10；R06 T36</x:v>
      </x:c>
      <x:c r="M79" s="13" t="str">
        <x:v>未开始</x:v>
      </x:c>
      <x:c r="N79" s="17"/>
      <x:c r="O79" s="14" t="str"/>
      <x:c r="P79" s="13" t="str">
        <x:v>未做</x:v>
      </x:c>
      <x:c r="Q79" s="13" t="str">
        <x:v>未做</x:v>
      </x:c>
      <x:c r="R79" s="13" t="str"/>
      <x:c r="S79" s="14" t="str"/>
      <x:c r="T79" s="18"/>
      <x:c r="U79" s="2" t="str">
        <x:f>IF(M79&lt;&gt;"完成","未通过",IF(O79="","缺证据位置",IF(P79&lt;&gt;"通过","待闭卷复述",IF(Q79&lt;&gt;"通过","待变式核验",IF(V79&lt;&gt;"达标",V79,IF(U78&lt;&gt;"通过","前置未通过","通过"))))))</x:f>
        <x:v>未通过</x:v>
      </x:c>
      <x:c r="V79" s="2" t="str">
        <x:f>IF(R79="","待填证据等级",IF(MATCH(R79,'项目规格与资料'!$B$40:$B$44,0)&gt;=MATCH(K79,'项目规格与资料'!$B$40:$B$44,0),"达标","证据不足"))</x:f>
        <x:v>待填证据等级</x:v>
      </x:c>
    </x:row>
    <x:row r="80" ht="64" customHeight="1">
      <x:c r="A80" s="2" t="n">
        <x:v>74</x:v>
      </x:c>
      <x:c r="B80" s="9" t="str">
        <x:v>S12-04</x:v>
      </x:c>
      <x:c r="C80" s="9" t="str">
        <x:v>S12</x:v>
      </x:c>
      <x:c r="D80" s="10" t="str">
        <x:v>完成MCU逻辑时序验证</x:v>
      </x:c>
      <x:c r="E80" s="10" t="str">
        <x:v>周期/边沿、ADC、ISR、Fault与首拍</x:v>
      </x:c>
      <x:c r="F80" s="10" t="str">
        <x:v>准备匹配开发板和测试配置；功率级断开，按项目安排测一组时序和故障封锁。</x:v>
      </x:c>
      <x:c r="G80" s="10" t="str">
        <x:v>实际波形、版本、事件关系及测量条件；没有设备则资源待补。</x:v>
      </x:c>
      <x:c r="H80" s="10" t="str">
        <x:v>逻辑时序通过是否已经证明高压ZVS和SR功率行为？</x:v>
      </x:c>
      <x:c r="I80" s="16" t="n">
        <x:v>100</x:v>
      </x:c>
      <x:c r="J80" s="10" t="str">
        <x:v>S12-03</x:v>
      </x:c>
      <x:c r="K80" s="10" t="str">
        <x:v>C</x:v>
      </x:c>
      <x:c r="L80" s="10" t="str">
        <x:v>R05 L4；R10</x:v>
      </x:c>
      <x:c r="M80" s="13" t="str">
        <x:v>未开始</x:v>
      </x:c>
      <x:c r="N80" s="17"/>
      <x:c r="O80" s="14" t="str"/>
      <x:c r="P80" s="13" t="str">
        <x:v>未做</x:v>
      </x:c>
      <x:c r="Q80" s="13" t="str">
        <x:v>未做</x:v>
      </x:c>
      <x:c r="R80" s="13" t="str"/>
      <x:c r="S80" s="14" t="str"/>
      <x:c r="T80" s="18"/>
      <x:c r="U80" s="9" t="str">
        <x:f>IF(M80&lt;&gt;"完成","未通过",IF(O80="","缺证据位置",IF(P80&lt;&gt;"通过","待闭卷复述",IF(Q80&lt;&gt;"通过","待变式核验",IF(V80&lt;&gt;"达标",V80,IF(U79&lt;&gt;"通过","前置未通过","通过"))))))</x:f>
        <x:v>未通过</x:v>
      </x:c>
      <x:c r="V80" s="9" t="str">
        <x:f>IF(R80="","待填证据等级",IF(MATCH(R80,'项目规格与资料'!$B$40:$B$44,0)&gt;=MATCH(K80,'项目规格与资料'!$B$40:$B$44,0),"达标","证据不足"))</x:f>
        <x:v>待填证据等级</x:v>
      </x:c>
    </x:row>
    <x:row r="81" ht="64" customHeight="1">
      <x:c r="A81" s="2" t="n">
        <x:v>75</x:v>
      </x:c>
      <x:c r="B81" s="2" t="str">
        <x:v>S12-05</x:v>
      </x:c>
      <x:c r="C81" s="2" t="str">
        <x:v>S12</x:v>
      </x:c>
      <x:c r="D81" s="8" t="str">
        <x:v>完成受指导的功率台架核验</x:v>
      </x:c>
      <x:c r="E81" s="8" t="str">
        <x:v>Vgs/Vds/Ir/Vcr、驱动和功率边界</x:v>
      </x:c>
      <x:c r="F81" s="8" t="str">
        <x:v>先提交一个具体测试单给项目负责人；按台架流程取得对应工作点及必要异常证据。</x:v>
      </x:c>
      <x:c r="G81" s="8" t="str">
        <x:v>实际数据和验收范围；自举、SR、保护未测项独立标注；无资源不以模型替代。</x:v>
      </x:c>
      <x:c r="H81" s="8" t="str">
        <x:v>某工作点成功为何不能宣称所有母线/负载通过？</x:v>
      </x:c>
      <x:c r="I81" s="15" t="n">
        <x:v>120</x:v>
      </x:c>
      <x:c r="J81" s="8" t="str">
        <x:v>S12-04</x:v>
      </x:c>
      <x:c r="K81" s="8" t="str">
        <x:v>D</x:v>
      </x:c>
      <x:c r="L81" s="8" t="str">
        <x:v>R05 L6；R02 §11</x:v>
      </x:c>
      <x:c r="M81" s="13" t="str">
        <x:v>未开始</x:v>
      </x:c>
      <x:c r="N81" s="17"/>
      <x:c r="O81" s="14" t="str"/>
      <x:c r="P81" s="13" t="str">
        <x:v>未做</x:v>
      </x:c>
      <x:c r="Q81" s="13" t="str">
        <x:v>未做</x:v>
      </x:c>
      <x:c r="R81" s="13" t="str"/>
      <x:c r="S81" s="14" t="str"/>
      <x:c r="T81" s="18"/>
      <x:c r="U81" s="2" t="str">
        <x:f>IF(M81&lt;&gt;"完成","未通过",IF(O81="","缺证据位置",IF(P81&lt;&gt;"通过","待闭卷复述",IF(Q81&lt;&gt;"通过","待变式核验",IF(V81&lt;&gt;"达标",V81,IF(U80&lt;&gt;"通过","前置未通过","通过"))))))</x:f>
        <x:v>未通过</x:v>
      </x:c>
      <x:c r="V81" s="2" t="str">
        <x:f>IF(R81="","待填证据等级",IF(MATCH(R81,'项目规格与资料'!$B$40:$B$44,0)&gt;=MATCH(K81,'项目规格与资料'!$B$40:$B$44,0),"达标","证据不足"))</x:f>
        <x:v>待填证据等级</x:v>
      </x:c>
    </x:row>
    <x:row r="82" ht="64" customHeight="1">
      <x:c r="A82" s="2" t="n">
        <x:v>76</x:v>
      </x:c>
      <x:c r="B82" s="9" t="str">
        <x:v>S12-06</x:v>
      </x:c>
      <x:c r="C82" s="9" t="str">
        <x:v>S12</x:v>
      </x:c>
      <x:c r="D82" s="10" t="str">
        <x:v>交付并在第二次任务中复用</x:v>
      </x:c>
      <x:c r="E82" s="10" t="str">
        <x:v>构建、版本、评审、发布和责任边界</x:v>
      </x:c>
      <x:c r="F82" s="10" t="str">
        <x:v>交付负责链路的需求/代码/证据/限制；完成真实评审或发布记录；在下一任务复用一个检查。</x:v>
      </x:c>
      <x:c r="G82" s="10" t="str">
        <x:v>实际职责、验收/发布记录和复用证据；个人练习不冒充产品发布。</x:v>
      </x:c>
      <x:c r="H82" s="10" t="str">
        <x:v>换硬件版本时哪些旧结论可复用、哪些必须重新测？</x:v>
      </x:c>
      <x:c r="I82" s="16" t="n">
        <x:v>100</x:v>
      </x:c>
      <x:c r="J82" s="10" t="str">
        <x:v>S12-05</x:v>
      </x:c>
      <x:c r="K82" s="10" t="str">
        <x:v>E</x:v>
      </x:c>
      <x:c r="L82" s="10" t="str">
        <x:v>R06 P3；R04 §18</x:v>
      </x:c>
      <x:c r="M82" s="13" t="str">
        <x:v>未开始</x:v>
      </x:c>
      <x:c r="N82" s="17"/>
      <x:c r="O82" s="14" t="str"/>
      <x:c r="P82" s="13" t="str">
        <x:v>未做</x:v>
      </x:c>
      <x:c r="Q82" s="13" t="str">
        <x:v>未做</x:v>
      </x:c>
      <x:c r="R82" s="13" t="str"/>
      <x:c r="S82" s="14" t="str"/>
      <x:c r="T82" s="18"/>
      <x:c r="U82" s="9" t="str">
        <x:f>IF(M82&lt;&gt;"完成","未通过",IF(O82="","缺证据位置",IF(P82&lt;&gt;"通过","待闭卷复述",IF(Q82&lt;&gt;"通过","待变式核验",IF(V82&lt;&gt;"达标",V82,IF(U81&lt;&gt;"通过","前置未通过","通过"))))))</x:f>
        <x:v>未通过</x:v>
      </x:c>
      <x:c r="V82" s="9" t="str">
        <x:f>IF(R82="","待填证据等级",IF(MATCH(R82,'项目规格与资料'!$B$40:$B$44,0)&gt;=MATCH(K82,'项目规格与资料'!$B$40:$B$44,0),"达标","证据不足"))</x:f>
        <x:v>待填证据等级</x:v>
      </x:c>
    </x:row>
  </x:sheetData>
  <x:conditionalFormatting sqref="U7:U82">
    <x:cfRule type="expression" dxfId="0" priority="1">
      <x:formula>$U7="通过"</x:formula>
    </x:cfRule>
    <x:cfRule type="expression" dxfId="1" priority="2">
      <x:formula>AND($M7="完成",$U7&lt;&gt;"通过")</x:formula>
    </x:cfRule>
  </x:conditionalFormatting>
  <x:conditionalFormatting sqref="M7:M82">
    <x:cfRule type="containsText" dxfId="2" priority="3" operator="containsText" text="受阻"/>
  </x:conditionalFormatting>
  <x:dataValidations count="4">
    <x:dataValidation type="list" sqref="M7:M82">
      <x:formula1>"未开始,进行中,待复核,完成,受阻,已会待核验"</x:formula1>
    </x:dataValidation>
    <x:dataValidation type="list" sqref="P7:Q82">
      <x:formula1>"未做,通过,需补"</x:formula1>
    </x:dataValidation>
    <x:dataValidation type="list" sqref="R7:R82">
      <x:formula1>"A,B,C,D,E"</x:formula1>
    </x:dataValidation>
    <x:dataValidation type="decimal" operator="greaterThanOrEqual" sqref="N7:N82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5b3fdfba8d447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23" hidden="0" customWidth="1"/>
    <x:col min="4" max="4" width="49" hidden="0" customWidth="1"/>
    <x:col min="5" max="5" width="52" hidden="0" customWidth="1"/>
    <x:col min="6" max="6" width="28" hidden="0" customWidth="1"/>
    <x:col min="7" max="7" width="30" hidden="0" customWidth="1"/>
    <x:col min="8" max="8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2"/>
      <x:c r="B2" s="3" t="str">
        <x:v>项目必须知道的内容</x:v>
      </x:c>
      <x:c r="C2" s="2"/>
      <x:c r="D2" s="2"/>
      <x:c r="E2" s="2"/>
      <x:c r="F2" s="2"/>
      <x:c r="G2" s="2"/>
      <x:c r="H2" s="2"/>
    </x:row>
    <x:row r="3">
      <x:c r="A3" s="2"/>
      <x:c r="B3" s="2" t="str">
        <x:v>跟当前阶段逐项回答。不会就回到对应任务；不把整页清单当今天的阅读量。</x:v>
      </x:c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2"/>
      <x:c r="B5" s="7" t="str">
        <x:v>阶段</x:v>
      </x:c>
      <x:c r="C5" s="7" t="str">
        <x:v>知识主题</x:v>
      </x:c>
      <x:c r="D5" s="7" t="str">
        <x:v>必须能回答的项目问题</x:v>
      </x:c>
      <x:c r="E5" s="7" t="str">
        <x:v>最低掌握标准</x:v>
      </x:c>
      <x:c r="F5" s="7" t="str">
        <x:v>对应任务</x:v>
      </x:c>
      <x:c r="G5" s="7" t="str">
        <x:v>检查方式</x:v>
      </x:c>
      <x:c r="H5" s="7" t="str">
        <x:v>你的解释或缺口</x:v>
      </x:c>
    </x:row>
    <x:row r="6" ht="54" customHeight="1">
      <x:c r="A6" s="2"/>
      <x:c r="B6" s="10" t="str">
        <x:v>S01</x:v>
      </x:c>
      <x:c r="C6" s="10" t="str">
        <x:v>项目边界</x:v>
      </x:c>
      <x:c r="D6" s="10" t="str">
        <x:v>区分AC整机、DC/DC、继电器前后测量与已有资料的版本。</x:v>
      </x:c>
      <x:c r="E6" s="10" t="str">
        <x:v>能画四条链；未知不猜填。</x:v>
      </x:c>
      <x:c r="F6" s="10" t="str">
        <x:v>S01-01～06</x:v>
      </x:c>
      <x:c r="G6" s="10" t="str">
        <x:v>版本表＋开环基线</x:v>
      </x:c>
      <x:c r="H6" s="14" t="str"/>
    </x:row>
    <x:row r="7" ht="54" customHeight="1">
      <x:c r="A7" s="2"/>
      <x:c r="B7" s="8" t="str">
        <x:v>S01</x:v>
      </x:c>
      <x:c r="C7" s="8" t="str">
        <x:v>证据与共识</x:v>
      </x:c>
      <x:c r="D7" s="8" t="str">
        <x:v>哪些是用户确认、代码事实、模型结果或设计解释？</x:v>
      </x:c>
      <x:c r="E7" s="8" t="str">
        <x:v>能给自己的结论标前提和未验证项。</x:v>
      </x:c>
      <x:c r="F7" s="8" t="str">
        <x:v>S01-02、06</x:v>
      </x:c>
      <x:c r="G7" s="8" t="str">
        <x:v>记录＋闭卷变式</x:v>
      </x:c>
      <x:c r="H7" s="14" t="str"/>
    </x:row>
    <x:row r="8" ht="54" customHeight="1">
      <x:c r="A8" s="2"/>
      <x:c r="B8" s="10" t="str">
        <x:v>S02</x:v>
      </x:c>
      <x:c r="C8" s="10" t="str">
        <x:v>L/C初值与能量</x:v>
      </x:c>
      <x:c r="D8" s="10" t="str">
        <x:v>同一个脉冲，为什么初态不同会得到不同峰值？</x:v>
      </x:c>
      <x:c r="E8" s="10" t="str">
        <x:v>独立计算di/dt、dv/dt和储能，带单位与初值。</x:v>
      </x:c>
      <x:c r="F8" s="10" t="str">
        <x:v>S02-01～03、05</x:v>
      </x:c>
      <x:c r="G8" s="10" t="str">
        <x:v>手算＋单位检查</x:v>
      </x:c>
      <x:c r="H8" s="14" t="str"/>
    </x:row>
    <x:row r="9" ht="54" customHeight="1">
      <x:c r="A9" s="2"/>
      <x:c r="B9" s="8" t="str">
        <x:v>S02</x:v>
      </x:c>
      <x:c r="C9" s="8" t="str">
        <x:v>变压器与负载折算</x:v>
      </x:c>
      <x:c r="D9" s="8" t="str">
        <x:v>Np/Ns和绕组极性怎样定义？</x:v>
      </x:c>
      <x:c r="E9" s="8" t="str">
        <x:v>确认实际整流接法；不混用半绕组/全绕组公式。</x:v>
      </x:c>
      <x:c r="F9" s="8" t="str">
        <x:v>S02-04</x:v>
      </x:c>
      <x:c r="G9" s="8" t="str">
        <x:v>图＋折算例</x:v>
      </x:c>
      <x:c r="H9" s="14" t="str"/>
    </x:row>
    <x:row r="10" ht="54" customHeight="1">
      <x:c r="A10" s="2"/>
      <x:c r="B10" s="10" t="str">
        <x:v>S02</x:v>
      </x:c>
      <x:c r="C10" s="10" t="str">
        <x:v>RMS与阻抗</x:v>
      </x:c>
      <x:c r="D10" s="10" t="str">
        <x:v>平均电流、损耗和相位为什么不能混算？</x:v>
      </x:c>
      <x:c r="E10" s="10" t="str">
        <x:v>能算简单RMS及复数串并联。</x:v>
      </x:c>
      <x:c r="F10" s="10" t="str">
        <x:v>S02-06</x:v>
      </x:c>
      <x:c r="G10" s="10" t="str">
        <x:v>独立算例</x:v>
      </x:c>
      <x:c r="H10" s="14" t="str"/>
    </x:row>
    <x:row r="11" ht="54" customHeight="1">
      <x:c r="A11" s="2"/>
      <x:c r="B11" s="8" t="str">
        <x:v>S03</x:v>
      </x:c>
      <x:c r="C11" s="8" t="str">
        <x:v>原边门极</x:v>
      </x:c>
      <x:c r="D11" s="8" t="str">
        <x:v>模式、频率、Duty和许可分别做什么？</x:v>
      </x:c>
      <x:c r="E11" s="8" t="str">
        <x:v>算两种模式窗口；知道Duty并非通用互补占空比。</x:v>
      </x:c>
      <x:c r="F11" s="8" t="str">
        <x:v>S03-01～04</x:v>
      </x:c>
      <x:c r="G11" s="8" t="str">
        <x:v>边沿表＋模型门极</x:v>
      </x:c>
      <x:c r="H11" s="14" t="str"/>
    </x:row>
    <x:row r="12" ht="54" customHeight="1">
      <x:c r="A12" s="2"/>
      <x:c r="B12" s="10" t="str">
        <x:v>S03</x:v>
      </x:c>
      <x:c r="C12" s="10" t="str">
        <x:v>驱动与第一拍</x:v>
      </x:c>
      <x:c r="D12" s="10" t="str">
        <x:v>高侧供电从哪里来，PWM怎样真正生效？</x:v>
      </x:c>
      <x:c r="E12" s="10" t="str">
        <x:v>找到型号/供电路径；说明预装载、GPIO及Fault的关系。</x:v>
      </x:c>
      <x:c r="F12" s="10" t="str">
        <x:v>S03-05～06</x:v>
      </x:c>
      <x:c r="G12" s="10" t="str">
        <x:v>路径和事件表</x:v>
      </x:c>
      <x:c r="H12" s="14" t="str"/>
    </x:row>
    <x:row r="13" ht="54" customHeight="1">
      <x:c r="A13" s="2"/>
      <x:c r="B13" s="8" t="str">
        <x:v>S04</x:v>
      </x:c>
      <x:c r="C13" s="8" t="str">
        <x:v>谐振与传能</x:v>
      </x:c>
      <x:c r="D13" s="8" t="str">
        <x:v>Lr/Lm/Cr、ir/im/ip各表示什么？</x:v>
      </x:c>
      <x:c r="E13" s="8" t="str">
        <x:v>能标一周期导通段及传能证据。</x:v>
      </x:c>
      <x:c r="F13" s="8" t="str">
        <x:v>S04-01～03</x:v>
      </x:c>
      <x:c r="G13" s="8" t="str">
        <x:v>周期图＋电流方向</x:v>
      </x:c>
      <x:c r="H13" s="14" t="str"/>
    </x:row>
    <x:row r="14" ht="54" customHeight="1">
      <x:c r="A14" s="2"/>
      <x:c r="B14" s="10" t="str">
        <x:v>S04</x:v>
      </x:c>
      <x:c r="C14" s="10" t="str">
        <x:v>工作区与近似</x:v>
      </x:c>
      <x:c r="D14" s="10" t="str">
        <x:v>fr、fp、FHA和静态扫点各能说明什么？</x:v>
      </x:c>
      <x:c r="E14" s="10" t="str">
        <x:v>统一m/Q/n定义；不从增益或fr直接批准频率边界。</x:v>
      </x:c>
      <x:c r="F14" s="10" t="str">
        <x:v>S04-04～06</x:v>
      </x:c>
      <x:c r="G14" s="10" t="str">
        <x:v>计算＋邻近点对照</x:v>
      </x:c>
      <x:c r="H14" s="14" t="str"/>
    </x:row>
    <x:row r="15" ht="54" customHeight="1">
      <x:c r="A15" s="2"/>
      <x:c r="B15" s="8" t="str">
        <x:v>S04</x:v>
      </x:c>
      <x:c r="C15" s="8" t="str">
        <x:v>软开关</x:v>
      </x:c>
      <x:c r="D15" s="8" t="str">
        <x:v>设置死区为什么不一定有ZVS？</x:v>
      </x:c>
      <x:c r="E15" s="8" t="str">
        <x:v>联系Coss、电流方向、Vds/Vgs与模型缺项。</x:v>
      </x:c>
      <x:c r="F15" s="8" t="str">
        <x:v>S04-07</x:v>
      </x:c>
      <x:c r="G15" s="8" t="str">
        <x:v>换流证据与限制</x:v>
      </x:c>
      <x:c r="H15" s="14" t="str"/>
    </x:row>
    <x:row r="16" ht="54" customHeight="1">
      <x:c r="A16" s="2"/>
      <x:c r="B16" s="10" t="str">
        <x:v>S05</x:v>
      </x:c>
      <x:c r="C16" s="10" t="str">
        <x:v>可信测量</x:v>
      </x:c>
      <x:c r="D16" s="10" t="str">
        <x:v>真实电流/电压怎样变成软件值？</x:v>
      </x:c>
      <x:c r="E16" s="10" t="str">
        <x:v>找到量程/零点/增益/方向；测试无效与越界。</x:v>
      </x:c>
      <x:c r="F16" s="10" t="str">
        <x:v>S05-01～02</x:v>
      </x:c>
      <x:c r="G16" s="10" t="str">
        <x:v>信号链＋数值核验</x:v>
      </x:c>
      <x:c r="H16" s="14" t="str"/>
    </x:row>
    <x:row r="17" ht="54" customHeight="1">
      <x:c r="A17" s="2"/>
      <x:c r="B17" s="8" t="str">
        <x:v>S05</x:v>
      </x:c>
      <x:c r="C17" s="8" t="str">
        <x:v>时间与一致性</x:v>
      </x:c>
      <x:c r="D17" s="8" t="str">
        <x:v>滤波、控制周期、PWM更新和数据版本怎样影响控制？</x:v>
      </x:c>
      <x:c r="E17" s="8" t="str">
        <x:v>能给一条链建立有来源的时间轴。</x:v>
      </x:c>
      <x:c r="F17" s="8" t="str">
        <x:v>S05-03～06</x:v>
      </x:c>
      <x:c r="G17" s="8" t="str">
        <x:v>序列/时序检查</x:v>
      </x:c>
      <x:c r="H17" s="14" t="str"/>
    </x:row>
    <x:row r="18" ht="54" customHeight="1">
      <x:c r="A18" s="2"/>
      <x:c r="B18" s="10" t="str">
        <x:v>S06</x:v>
      </x:c>
      <x:c r="C18" s="10" t="str">
        <x:v>SR物理作用</x:v>
      </x:c>
      <x:c r="D18" s="10" t="str">
        <x:v>导通后为什么能反向，关断后为什么仍可能续流？</x:v>
      </x:c>
      <x:c r="E18" s="10" t="str">
        <x:v>确认实际副边通路；解释早关损耗与晚关风险。</x:v>
      </x:c>
      <x:c r="F18" s="10" t="str">
        <x:v>S06-01～03</x:v>
      </x:c>
      <x:c r="G18" s="10" t="str">
        <x:v>路径＋关断延迟预算</x:v>
      </x:c>
      <x:c r="H18" s="14" t="str"/>
    </x:row>
    <x:row r="19" ht="54" customHeight="1">
      <x:c r="A19" s="2"/>
      <x:c r="B19" s="8" t="str">
        <x:v>S06</x:v>
      </x:c>
      <x:c r="C19" s="8" t="str">
        <x:v>SR算法</x:v>
      </x:c>
      <x:c r="D19" s="8" t="str">
        <x:v>许可、查表窗口与器件实际导通有什么区别？</x:v>
      </x:c>
      <x:c r="E19" s="8" t="str">
        <x:v>追一个PWM点和一个PFM点，核对轴/索引/单位。</x:v>
      </x:c>
      <x:c r="F19" s="8" t="str">
        <x:v>S06-04～06</x:v>
      </x:c>
      <x:c r="G19" s="8" t="str">
        <x:v>数值窗口表</x:v>
      </x:c>
      <x:c r="H19" s="14" t="str"/>
    </x:row>
    <x:row r="20" ht="54" customHeight="1">
      <x:c r="A20" s="2"/>
      <x:c r="B20" s="10" t="str">
        <x:v>S06</x:v>
      </x:c>
      <x:c r="C20" s="10" t="str">
        <x:v>SR边界</x:v>
      </x:c>
      <x:c r="D20" s="10" t="str">
        <x:v>轻载、变频、预偏置为何不能固定半周导通？</x:v>
      </x:c>
      <x:c r="E20" s="10" t="str">
        <x:v>有一项边界反例；实机延迟未知仍保留。</x:v>
      </x:c>
      <x:c r="F20" s="10" t="str">
        <x:v>S06-07</x:v>
      </x:c>
      <x:c r="G20" s="10" t="str">
        <x:v>波形与范围记录</x:v>
      </x:c>
      <x:c r="H20" s="14" t="str"/>
    </x:row>
    <x:row r="21" ht="54" customHeight="1">
      <x:c r="A21" s="2"/>
      <x:c r="B21" s="8" t="str">
        <x:v>S07</x:v>
      </x:c>
      <x:c r="C21" s="8" t="str">
        <x:v>调节器运算</x:v>
      </x:c>
      <x:c r="D21" s="8" t="str">
        <x:v>位置/增量PI、Ts和历史状态怎样对应代码？</x:v>
      </x:c>
      <x:c r="E21" s="8" t="str">
        <x:v>手算短序列；解释限幅和接管首拍。</x:v>
      </x:c>
      <x:c r="F21" s="8" t="str">
        <x:v>S07-01～04</x:v>
      </x:c>
      <x:c r="G21" s="8" t="str">
        <x:v>PC/计算对照</x:v>
      </x:c>
      <x:c r="H21" s="14" t="str"/>
    </x:row>
    <x:row r="22" ht="54" customHeight="1">
      <x:c r="A22" s="2"/>
      <x:c r="B22" s="10" t="str">
        <x:v>S07</x:v>
      </x:c>
      <x:c r="C22" s="10" t="str">
        <x:v>控制设计依据</x:v>
      </x:c>
      <x:c r="D22" s="10" t="str">
        <x:v>静态趋势为何不能给出闭环裕度？</x:v>
      </x:c>
      <x:c r="E22" s="10" t="str">
        <x:v>明确局部对象、延迟、指标、离散化和参数责任。</x:v>
      </x:c>
      <x:c r="F22" s="10" t="str">
        <x:v>S07-05～07</x:v>
      </x:c>
      <x:c r="G22" s="10" t="str">
        <x:v>局部动态/补偿分析</x:v>
      </x:c>
      <x:c r="H22" s="14" t="str"/>
    </x:row>
    <x:row r="23" ht="54" customHeight="1">
      <x:c r="A23" s="2"/>
      <x:c r="B23" s="8" t="str">
        <x:v>S08</x:v>
      </x:c>
      <x:c r="C23" s="8" t="str">
        <x:v>充电控制权</x:v>
      </x:c>
      <x:c r="D23" s="8" t="str">
        <x:v>当前谁控制功率，BMS/PMS目标如何受限？</x:v>
      </x:c>
      <x:c r="E23" s="8" t="str">
        <x:v>分清CC/CV结构及请求/实际目标。</x:v>
      </x:c>
      <x:c r="F23" s="8" t="str">
        <x:v>S08-01～03</x:v>
      </x:c>
      <x:c r="G23" s="8" t="str">
        <x:v>控制权和约束表</x:v>
      </x:c>
      <x:c r="H23" s="14" t="str"/>
    </x:row>
    <x:row r="24" ht="54" customHeight="1">
      <x:c r="A24" s="2"/>
      <x:c r="B24" s="10" t="str">
        <x:v>S08</x:v>
      </x:c>
      <x:c r="C24" s="10" t="str">
        <x:v>交接连续性</x:v>
      </x:c>
      <x:c r="D24" s="10" t="str">
        <x:v>参考、PI、原边和SR怎样在模式边界协调？</x:v>
      </x:c>
      <x:c r="E24" s="10" t="str">
        <x:v>共同看模式、边沿和状态；不只看Duty。</x:v>
      </x:c>
      <x:c r="F24" s="10" t="str">
        <x:v>S08-04～06</x:v>
      </x:c>
      <x:c r="G24" s="10" t="str">
        <x:v>交接时间线</x:v>
      </x:c>
      <x:c r="H24" s="14" t="str"/>
    </x:row>
    <x:row r="25" ht="54" customHeight="1">
      <x:c r="A25" s="2"/>
      <x:c r="B25" s="8" t="str">
        <x:v>S09</x:v>
      </x:c>
      <x:c r="C25" s="8" t="str">
        <x:v>启动初态</x:v>
      </x:c>
      <x:c r="D25" s="8" t="str">
        <x:v>四种预充分别准备什么？</x:v>
      </x:c>
      <x:c r="E25" s="8" t="str">
        <x:v>区分自举、Cr和输出；覆盖长停波与热重启。</x:v>
      </x:c>
      <x:c r="F25" s="8" t="str">
        <x:v>S09-01～03</x:v>
      </x:c>
      <x:c r="G25" s="8" t="str">
        <x:v>路径/电荷预算/初态实验</x:v>
      </x:c>
      <x:c r="H25" s="14" t="str"/>
    </x:row>
    <x:row r="26" ht="54" customHeight="1">
      <x:c r="A26" s="2"/>
      <x:c r="B26" s="10" t="str">
        <x:v>S09</x:v>
      </x:c>
      <x:c r="C26" s="10" t="str">
        <x:v>状态与恢复</x:v>
      </x:c>
      <x:c r="D26" s="10" t="str">
        <x:v>预充、合闸、缓升、停机各怎样完成和失败？</x:v>
      </x:c>
      <x:c r="E26" s="10" t="str">
        <x:v>每阶段有动作、判据、超时或明确缺口。</x:v>
      </x:c>
      <x:c r="F26" s="10" t="str">
        <x:v>S09-04～07</x:v>
      </x:c>
      <x:c r="G26" s="10" t="str">
        <x:v>状态与重置表</x:v>
      </x:c>
      <x:c r="H26" s="14" t="str"/>
    </x:row>
    <x:row r="27" ht="54" customHeight="1">
      <x:c r="A27" s="2"/>
      <x:c r="B27" s="8" t="str">
        <x:v>S10</x:v>
      </x:c>
      <x:c r="C27" s="8" t="str">
        <x:v>保护责任</x:v>
      </x:c>
      <x:c r="D27" s="8" t="str">
        <x:v>什么必须快关，什么允许滤波或慢降额？</x:v>
      </x:c>
      <x:c r="E27" s="8" t="str">
        <x:v>三类完整故障链，含锁存和恢复。</x:v>
      </x:c>
      <x:c r="F27" s="8" t="str">
        <x:v>S10-01～02、06</x:v>
      </x:c>
      <x:c r="G27" s="8" t="str">
        <x:v>故障矩阵</x:v>
      </x:c>
      <x:c r="H27" s="14" t="str"/>
    </x:row>
    <x:row r="28" ht="54" customHeight="1">
      <x:c r="A28" s="2"/>
      <x:c r="B28" s="10" t="str">
        <x:v>S10</x:v>
      </x:c>
      <x:c r="C28" s="10" t="str">
        <x:v>异常证据</x:v>
      </x:c>
      <x:c r="D28" s="10" t="str">
        <x:v>采样、命令、复位、执行器失效如何影响门极？</x:v>
      </x:c>
      <x:c r="E28" s="10" t="str">
        <x:v>完成一个反例；CPU不参与的路径独立验证。</x:v>
      </x:c>
      <x:c r="F28" s="10" t="str">
        <x:v>S10-03～05</x:v>
      </x:c>
      <x:c r="G28" s="10" t="str">
        <x:v>输入序列与事件表</x:v>
      </x:c>
      <x:c r="H28" s="14" t="str"/>
    </x:row>
    <x:row r="29" ht="54" customHeight="1">
      <x:c r="A29" s="2"/>
      <x:c r="B29" s="8" t="str">
        <x:v>S11</x:v>
      </x:c>
      <x:c r="C29" s="8" t="str">
        <x:v>PFC基本对象</x:v>
      </x:c>
      <x:c r="D29" s="8" t="str">
        <x:v>快慢桥臂、两环、过零和母线分别是什么？</x:v>
      </x:c>
      <x:c r="E29" s="8" t="str">
        <x:v>懂功能与接口；黑盒内部不声称已掌握。</x:v>
      </x:c>
      <x:c r="F29" s="8" t="str">
        <x:v>S11-01～03</x:v>
      </x:c>
      <x:c r="G29" s="8" t="str">
        <x:v>功能/控制分工图</x:v>
      </x:c>
      <x:c r="H29" s="14" t="str"/>
    </x:row>
    <x:row r="30" ht="54" customHeight="1">
      <x:c r="A30" s="2"/>
      <x:c r="B30" s="10" t="str">
        <x:v>S11</x:v>
      </x:c>
      <x:c r="C30" s="10" t="str">
        <x:v>整机约束</x:v>
      </x:c>
      <x:c r="D30" s="10" t="str">
        <x:v>PFC_ok、Vbus、功率上限和请求如何传到LLC？</x:v>
      </x:c>
      <x:c r="E30" s="10" t="str">
        <x:v>能解释准入、撤销、掉电与目标限制。</x:v>
      </x:c>
      <x:c r="F30" s="10" t="str">
        <x:v>S11-04～06</x:v>
      </x:c>
      <x:c r="G30" s="10" t="str">
        <x:v>端到端接口序列</x:v>
      </x:c>
      <x:c r="H30" s="14" t="str"/>
    </x:row>
    <x:row r="31" ht="54" customHeight="1">
      <x:c r="A31" s="2"/>
      <x:c r="B31" s="8" t="str">
        <x:v>S12</x:v>
      </x:c>
      <x:c r="C31" s="8" t="str">
        <x:v>复现与交付</x:v>
      </x:c>
      <x:c r="D31" s="8" t="str">
        <x:v>如何证明修复、回归和适用范围？</x:v>
      </x:c>
      <x:c r="E31" s="8" t="str">
        <x:v>版本、原始数据、判据和责任可追踪。</x:v>
      </x:c>
      <x:c r="F31" s="8" t="str">
        <x:v>S12-01～03、06</x:v>
      </x:c>
      <x:c r="G31" s="8" t="str">
        <x:v>可重跑交付包</x:v>
      </x:c>
      <x:c r="H31" s="14" t="str"/>
    </x:row>
    <x:row r="32" ht="54" customHeight="1">
      <x:c r="A32" s="2"/>
      <x:c r="B32" s="10" t="str">
        <x:v>S12</x:v>
      </x:c>
      <x:c r="C32" s="10" t="str">
        <x:v>实机证据</x:v>
      </x:c>
      <x:c r="D32" s="10" t="str">
        <x:v>逻辑、模型与功率台架分别证明什么？</x:v>
      </x:c>
      <x:c r="E32" s="10" t="str">
        <x:v>C/D/E证据分别获得；资源不足明确待补。</x:v>
      </x:c>
      <x:c r="F32" s="10" t="str">
        <x:v>S12-04～06</x:v>
      </x:c>
      <x:c r="G32" s="10" t="str">
        <x:v>逻辑波形/功率数据/验收记录</x:v>
      </x:c>
      <x:c r="H32" s="14" t="str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pageMargins left="0.7" right="0.7" top="0.75" bottom="0.75" header="0.3" footer="0.3"/>
  <x:tableParts count="1">
    <x:tablePart xmlns:r="http://schemas.openxmlformats.org/officeDocument/2006/relationships" r:id="Rfe1ac61d9cc04b0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15" hidden="0" customWidth="1"/>
    <x:col min="3" max="3" width="12" hidden="0" customWidth="1"/>
    <x:col min="4" max="4" width="37" hidden="0" customWidth="1"/>
    <x:col min="5" max="5" width="44" hidden="0" customWidth="1"/>
    <x:col min="6" max="6" width="42" hidden="0" customWidth="1"/>
    <x:col min="7" max="7" width="48" hidden="0" customWidth="1"/>
    <x:col min="8" max="8" width="42" hidden="0" customWidth="1"/>
    <x:col min="9" max="9" width="49" hidden="0" customWidth="1"/>
    <x:col min="10" max="10" width="11" hidden="0" customWidth="1"/>
    <x:col min="11" max="11" width="40" hidden="0" customWidth="1"/>
    <x:col min="12" max="12" width="12" hidden="0" customWidth="1"/>
    <x:col min="13" max="13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3" t="str">
        <x:v>实验与学习记录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 t="str">
        <x:v>每次留一条：先预测，后运行，再比较。未运行写未运行；AI示例不算你的结果。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2"/>
      <x:c r="B5" s="7" t="str">
        <x:v>日期</x:v>
      </x:c>
      <x:c r="C5" s="7" t="str">
        <x:v>任务ID</x:v>
      </x:c>
      <x:c r="D5" s="7" t="str">
        <x:v>版本与工况</x:v>
      </x:c>
      <x:c r="E5" s="7" t="str">
        <x:v>我的预测或缺口</x:v>
      </x:c>
      <x:c r="F5" s="7" t="str">
        <x:v>实际操作</x:v>
      </x:c>
      <x:c r="G5" s="7" t="str">
        <x:v>观察结果与证据位置</x:v>
      </x:c>
      <x:c r="H5" s="7" t="str">
        <x:v>差异与原因</x:v>
      </x:c>
      <x:c r="I5" s="7" t="str">
        <x:v>结论及适用范围</x:v>
      </x:c>
      <x:c r="J5" s="7" t="str">
        <x:v>证据等级</x:v>
      </x:c>
      <x:c r="K5" s="7" t="str">
        <x:v>下一步25分钟</x:v>
      </x:c>
      <x:c r="L5" s="7" t="str">
        <x:v>实际分钟</x:v>
      </x:c>
      <x:c r="M5" s="7" t="str">
        <x:v>一个仍未知的问题</x:v>
      </x:c>
    </x:row>
    <x:row r="6" ht="54" customHeight="1">
      <x:c r="A6" s="2"/>
      <x:c r="B6" s="23"/>
      <x:c r="C6" s="14"/>
      <x:c r="D6" s="14"/>
      <x:c r="E6" s="14"/>
      <x:c r="F6" s="14"/>
      <x:c r="G6" s="14"/>
      <x:c r="H6" s="14"/>
      <x:c r="I6" s="14"/>
      <x:c r="J6" s="14"/>
      <x:c r="K6" s="14"/>
      <x:c r="L6" s="24"/>
      <x:c r="M6" s="14"/>
    </x:row>
    <x:row r="7" ht="54" customHeight="1">
      <x:c r="A7" s="2"/>
      <x:c r="B7" s="23"/>
      <x:c r="C7" s="14"/>
      <x:c r="D7" s="14"/>
      <x:c r="E7" s="14"/>
      <x:c r="F7" s="14"/>
      <x:c r="G7" s="14"/>
      <x:c r="H7" s="14"/>
      <x:c r="I7" s="14"/>
      <x:c r="J7" s="14"/>
      <x:c r="K7" s="14"/>
      <x:c r="L7" s="24"/>
      <x:c r="M7" s="14"/>
    </x:row>
    <x:row r="8" ht="54" customHeight="1">
      <x:c r="A8" s="2"/>
      <x:c r="B8" s="23"/>
      <x:c r="C8" s="14"/>
      <x:c r="D8" s="14"/>
      <x:c r="E8" s="14"/>
      <x:c r="F8" s="14"/>
      <x:c r="G8" s="14"/>
      <x:c r="H8" s="14"/>
      <x:c r="I8" s="14"/>
      <x:c r="J8" s="14"/>
      <x:c r="K8" s="14"/>
      <x:c r="L8" s="24"/>
      <x:c r="M8" s="14"/>
    </x:row>
    <x:row r="9" ht="54" customHeight="1">
      <x:c r="A9" s="2"/>
      <x:c r="B9" s="23"/>
      <x:c r="C9" s="14"/>
      <x:c r="D9" s="14"/>
      <x:c r="E9" s="14"/>
      <x:c r="F9" s="14"/>
      <x:c r="G9" s="14"/>
      <x:c r="H9" s="14"/>
      <x:c r="I9" s="14"/>
      <x:c r="J9" s="14"/>
      <x:c r="K9" s="14"/>
      <x:c r="L9" s="24"/>
      <x:c r="M9" s="14"/>
    </x:row>
    <x:row r="10" ht="54" customHeight="1">
      <x:c r="A10" s="2"/>
      <x:c r="B10" s="23"/>
      <x:c r="C10" s="14"/>
      <x:c r="D10" s="14"/>
      <x:c r="E10" s="14"/>
      <x:c r="F10" s="14"/>
      <x:c r="G10" s="14"/>
      <x:c r="H10" s="14"/>
      <x:c r="I10" s="14"/>
      <x:c r="J10" s="14"/>
      <x:c r="K10" s="14"/>
      <x:c r="L10" s="24"/>
      <x:c r="M10" s="14"/>
    </x:row>
    <x:row r="11" ht="54" customHeight="1">
      <x:c r="A11" s="2"/>
      <x:c r="B11" s="23"/>
      <x:c r="C11" s="14"/>
      <x:c r="D11" s="14"/>
      <x:c r="E11" s="14"/>
      <x:c r="F11" s="14"/>
      <x:c r="G11" s="14"/>
      <x:c r="H11" s="14"/>
      <x:c r="I11" s="14"/>
      <x:c r="J11" s="14"/>
      <x:c r="K11" s="14"/>
      <x:c r="L11" s="24"/>
      <x:c r="M11" s="14"/>
    </x:row>
    <x:row r="12" ht="54" customHeight="1">
      <x:c r="A12" s="2"/>
      <x:c r="B12" s="23"/>
      <x:c r="C12" s="14"/>
      <x:c r="D12" s="14"/>
      <x:c r="E12" s="14"/>
      <x:c r="F12" s="14"/>
      <x:c r="G12" s="14"/>
      <x:c r="H12" s="14"/>
      <x:c r="I12" s="14"/>
      <x:c r="J12" s="14"/>
      <x:c r="K12" s="14"/>
      <x:c r="L12" s="24"/>
      <x:c r="M12" s="14"/>
    </x:row>
    <x:row r="13" ht="54" customHeight="1">
      <x:c r="A13" s="2"/>
      <x:c r="B13" s="23"/>
      <x:c r="C13" s="14"/>
      <x:c r="D13" s="14"/>
      <x:c r="E13" s="14"/>
      <x:c r="F13" s="14"/>
      <x:c r="G13" s="14"/>
      <x:c r="H13" s="14"/>
      <x:c r="I13" s="14"/>
      <x:c r="J13" s="14"/>
      <x:c r="K13" s="14"/>
      <x:c r="L13" s="24"/>
      <x:c r="M13" s="14"/>
    </x:row>
    <x:row r="14" ht="54" customHeight="1">
      <x:c r="A14" s="2"/>
      <x:c r="B14" s="23"/>
      <x:c r="C14" s="14"/>
      <x:c r="D14" s="14"/>
      <x:c r="E14" s="14"/>
      <x:c r="F14" s="14"/>
      <x:c r="G14" s="14"/>
      <x:c r="H14" s="14"/>
      <x:c r="I14" s="14"/>
      <x:c r="J14" s="14"/>
      <x:c r="K14" s="14"/>
      <x:c r="L14" s="24"/>
      <x:c r="M14" s="14"/>
    </x:row>
    <x:row r="15" ht="54" customHeight="1">
      <x:c r="A15" s="2"/>
      <x:c r="B15" s="23"/>
      <x:c r="C15" s="14"/>
      <x:c r="D15" s="14"/>
      <x:c r="E15" s="14"/>
      <x:c r="F15" s="14"/>
      <x:c r="G15" s="14"/>
      <x:c r="H15" s="14"/>
      <x:c r="I15" s="14"/>
      <x:c r="J15" s="14"/>
      <x:c r="K15" s="14"/>
      <x:c r="L15" s="24"/>
      <x:c r="M15" s="14"/>
    </x:row>
    <x:row r="16" ht="54" customHeight="1">
      <x:c r="A16" s="2"/>
      <x:c r="B16" s="23"/>
      <x:c r="C16" s="14"/>
      <x:c r="D16" s="14"/>
      <x:c r="E16" s="14"/>
      <x:c r="F16" s="14"/>
      <x:c r="G16" s="14"/>
      <x:c r="H16" s="14"/>
      <x:c r="I16" s="14"/>
      <x:c r="J16" s="14"/>
      <x:c r="K16" s="14"/>
      <x:c r="L16" s="24"/>
      <x:c r="M16" s="14"/>
    </x:row>
    <x:row r="17" ht="54" customHeight="1">
      <x:c r="A17" s="2"/>
      <x:c r="B17" s="23"/>
      <x:c r="C17" s="14"/>
      <x:c r="D17" s="14"/>
      <x:c r="E17" s="14"/>
      <x:c r="F17" s="14"/>
      <x:c r="G17" s="14"/>
      <x:c r="H17" s="14"/>
      <x:c r="I17" s="14"/>
      <x:c r="J17" s="14"/>
      <x:c r="K17" s="14"/>
      <x:c r="L17" s="24"/>
      <x:c r="M17" s="14"/>
    </x:row>
    <x:row r="18" ht="54" customHeight="1">
      <x:c r="A18" s="2"/>
      <x:c r="B18" s="23"/>
      <x:c r="C18" s="14"/>
      <x:c r="D18" s="14"/>
      <x:c r="E18" s="14"/>
      <x:c r="F18" s="14"/>
      <x:c r="G18" s="14"/>
      <x:c r="H18" s="14"/>
      <x:c r="I18" s="14"/>
      <x:c r="J18" s="14"/>
      <x:c r="K18" s="14"/>
      <x:c r="L18" s="24"/>
      <x:c r="M18" s="14"/>
    </x:row>
    <x:row r="19" ht="54" customHeight="1">
      <x:c r="A19" s="2"/>
      <x:c r="B19" s="23"/>
      <x:c r="C19" s="14"/>
      <x:c r="D19" s="14"/>
      <x:c r="E19" s="14"/>
      <x:c r="F19" s="14"/>
      <x:c r="G19" s="14"/>
      <x:c r="H19" s="14"/>
      <x:c r="I19" s="14"/>
      <x:c r="J19" s="14"/>
      <x:c r="K19" s="14"/>
      <x:c r="L19" s="24"/>
      <x:c r="M19" s="14"/>
    </x:row>
    <x:row r="20" ht="54" customHeight="1">
      <x:c r="A20" s="2"/>
      <x:c r="B20" s="23"/>
      <x:c r="C20" s="14"/>
      <x:c r="D20" s="14"/>
      <x:c r="E20" s="14"/>
      <x:c r="F20" s="14"/>
      <x:c r="G20" s="14"/>
      <x:c r="H20" s="14"/>
      <x:c r="I20" s="14"/>
      <x:c r="J20" s="14"/>
      <x:c r="K20" s="14"/>
      <x:c r="L20" s="24"/>
      <x:c r="M20" s="14"/>
    </x:row>
    <x:row r="21" ht="54" customHeight="1">
      <x:c r="A21" s="2"/>
      <x:c r="B21" s="23"/>
      <x:c r="C21" s="14"/>
      <x:c r="D21" s="14"/>
      <x:c r="E21" s="14"/>
      <x:c r="F21" s="14"/>
      <x:c r="G21" s="14"/>
      <x:c r="H21" s="14"/>
      <x:c r="I21" s="14"/>
      <x:c r="J21" s="14"/>
      <x:c r="K21" s="14"/>
      <x:c r="L21" s="24"/>
      <x:c r="M21" s="14"/>
    </x:row>
    <x:row r="22" ht="54" customHeight="1">
      <x:c r="A22" s="2"/>
      <x:c r="B22" s="23"/>
      <x:c r="C22" s="14"/>
      <x:c r="D22" s="14"/>
      <x:c r="E22" s="14"/>
      <x:c r="F22" s="14"/>
      <x:c r="G22" s="14"/>
      <x:c r="H22" s="14"/>
      <x:c r="I22" s="14"/>
      <x:c r="J22" s="14"/>
      <x:c r="K22" s="14"/>
      <x:c r="L22" s="24"/>
      <x:c r="M22" s="14"/>
    </x:row>
    <x:row r="23" ht="54" customHeight="1">
      <x:c r="A23" s="2"/>
      <x:c r="B23" s="23"/>
      <x:c r="C23" s="14"/>
      <x:c r="D23" s="14"/>
      <x:c r="E23" s="14"/>
      <x:c r="F23" s="14"/>
      <x:c r="G23" s="14"/>
      <x:c r="H23" s="14"/>
      <x:c r="I23" s="14"/>
      <x:c r="J23" s="14"/>
      <x:c r="K23" s="14"/>
      <x:c r="L23" s="24"/>
      <x:c r="M23" s="14"/>
    </x:row>
    <x:row r="24" ht="54" customHeight="1">
      <x:c r="A24" s="2"/>
      <x:c r="B24" s="23"/>
      <x:c r="C24" s="14"/>
      <x:c r="D24" s="14"/>
      <x:c r="E24" s="14"/>
      <x:c r="F24" s="14"/>
      <x:c r="G24" s="14"/>
      <x:c r="H24" s="14"/>
      <x:c r="I24" s="14"/>
      <x:c r="J24" s="14"/>
      <x:c r="K24" s="14"/>
      <x:c r="L24" s="24"/>
      <x:c r="M24" s="14"/>
    </x:row>
    <x:row r="25" ht="54" customHeight="1">
      <x:c r="A25" s="2"/>
      <x:c r="B25" s="23"/>
      <x:c r="C25" s="14"/>
      <x:c r="D25" s="14"/>
      <x:c r="E25" s="14"/>
      <x:c r="F25" s="14"/>
      <x:c r="G25" s="14"/>
      <x:c r="H25" s="14"/>
      <x:c r="I25" s="14"/>
      <x:c r="J25" s="14"/>
      <x:c r="K25" s="14"/>
      <x:c r="L25" s="24"/>
      <x:c r="M25" s="14"/>
    </x:row>
    <x:row r="26" ht="54" customHeight="1">
      <x:c r="A26" s="2"/>
      <x:c r="B26" s="23"/>
      <x:c r="C26" s="14"/>
      <x:c r="D26" s="14"/>
      <x:c r="E26" s="14"/>
      <x:c r="F26" s="14"/>
      <x:c r="G26" s="14"/>
      <x:c r="H26" s="14"/>
      <x:c r="I26" s="14"/>
      <x:c r="J26" s="14"/>
      <x:c r="K26" s="14"/>
      <x:c r="L26" s="24"/>
      <x:c r="M26" s="14"/>
    </x:row>
    <x:row r="27" ht="54" customHeight="1">
      <x:c r="A27" s="2"/>
      <x:c r="B27" s="23"/>
      <x:c r="C27" s="14"/>
      <x:c r="D27" s="14"/>
      <x:c r="E27" s="14"/>
      <x:c r="F27" s="14"/>
      <x:c r="G27" s="14"/>
      <x:c r="H27" s="14"/>
      <x:c r="I27" s="14"/>
      <x:c r="J27" s="14"/>
      <x:c r="K27" s="14"/>
      <x:c r="L27" s="24"/>
      <x:c r="M27" s="14"/>
    </x:row>
    <x:row r="28" ht="54" customHeight="1">
      <x:c r="A28" s="2"/>
      <x:c r="B28" s="23"/>
      <x:c r="C28" s="14"/>
      <x:c r="D28" s="14"/>
      <x:c r="E28" s="14"/>
      <x:c r="F28" s="14"/>
      <x:c r="G28" s="14"/>
      <x:c r="H28" s="14"/>
      <x:c r="I28" s="14"/>
      <x:c r="J28" s="14"/>
      <x:c r="K28" s="14"/>
      <x:c r="L28" s="24"/>
      <x:c r="M28" s="14"/>
    </x:row>
    <x:row r="29" ht="54" customHeight="1">
      <x:c r="A29" s="2"/>
      <x:c r="B29" s="23"/>
      <x:c r="C29" s="14"/>
      <x:c r="D29" s="14"/>
      <x:c r="E29" s="14"/>
      <x:c r="F29" s="14"/>
      <x:c r="G29" s="14"/>
      <x:c r="H29" s="14"/>
      <x:c r="I29" s="14"/>
      <x:c r="J29" s="14"/>
      <x:c r="K29" s="14"/>
      <x:c r="L29" s="24"/>
      <x:c r="M29" s="14"/>
    </x:row>
    <x:row r="30" ht="54" customHeight="1">
      <x:c r="A30" s="2"/>
      <x:c r="B30" s="23"/>
      <x:c r="C30" s="14"/>
      <x:c r="D30" s="14"/>
      <x:c r="E30" s="14"/>
      <x:c r="F30" s="14"/>
      <x:c r="G30" s="14"/>
      <x:c r="H30" s="14"/>
      <x:c r="I30" s="14"/>
      <x:c r="J30" s="14"/>
      <x:c r="K30" s="14"/>
      <x:c r="L30" s="24"/>
      <x:c r="M30" s="14"/>
    </x:row>
    <x:row r="31" ht="54" customHeight="1">
      <x:c r="A31" s="2"/>
      <x:c r="B31" s="23"/>
      <x:c r="C31" s="14"/>
      <x:c r="D31" s="14"/>
      <x:c r="E31" s="14"/>
      <x:c r="F31" s="14"/>
      <x:c r="G31" s="14"/>
      <x:c r="H31" s="14"/>
      <x:c r="I31" s="14"/>
      <x:c r="J31" s="14"/>
      <x:c r="K31" s="14"/>
      <x:c r="L31" s="24"/>
      <x:c r="M31" s="14"/>
    </x:row>
    <x:row r="32" ht="54" customHeight="1">
      <x:c r="A32" s="2"/>
      <x:c r="B32" s="23"/>
      <x:c r="C32" s="14"/>
      <x:c r="D32" s="14"/>
      <x:c r="E32" s="14"/>
      <x:c r="F32" s="14"/>
      <x:c r="G32" s="14"/>
      <x:c r="H32" s="14"/>
      <x:c r="I32" s="14"/>
      <x:c r="J32" s="14"/>
      <x:c r="K32" s="14"/>
      <x:c r="L32" s="24"/>
      <x:c r="M32" s="14"/>
    </x:row>
    <x:row r="33" ht="54" customHeight="1">
      <x:c r="A33" s="2"/>
      <x:c r="B33" s="23"/>
      <x:c r="C33" s="14"/>
      <x:c r="D33" s="14"/>
      <x:c r="E33" s="14"/>
      <x:c r="F33" s="14"/>
      <x:c r="G33" s="14"/>
      <x:c r="H33" s="14"/>
      <x:c r="I33" s="14"/>
      <x:c r="J33" s="14"/>
      <x:c r="K33" s="14"/>
      <x:c r="L33" s="24"/>
      <x:c r="M33" s="14"/>
    </x:row>
    <x:row r="34" ht="54" customHeight="1">
      <x:c r="A34" s="2"/>
      <x:c r="B34" s="23"/>
      <x:c r="C34" s="14"/>
      <x:c r="D34" s="14"/>
      <x:c r="E34" s="14"/>
      <x:c r="F34" s="14"/>
      <x:c r="G34" s="14"/>
      <x:c r="H34" s="14"/>
      <x:c r="I34" s="14"/>
      <x:c r="J34" s="14"/>
      <x:c r="K34" s="14"/>
      <x:c r="L34" s="24"/>
      <x:c r="M34" s="14"/>
    </x:row>
    <x:row r="35" ht="54" customHeight="1">
      <x:c r="A35" s="2"/>
      <x:c r="B35" s="23"/>
      <x:c r="C35" s="14"/>
      <x:c r="D35" s="14"/>
      <x:c r="E35" s="14"/>
      <x:c r="F35" s="14"/>
      <x:c r="G35" s="14"/>
      <x:c r="H35" s="14"/>
      <x:c r="I35" s="14"/>
      <x:c r="J35" s="14"/>
      <x:c r="K35" s="14"/>
      <x:c r="L35" s="24"/>
      <x:c r="M35" s="14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</x:sheetData>
  <x:dataValidations count="2">
    <x:dataValidation type="list" sqref="C6:C35">
      <x:formula1>'任务总表'!$B$7:$B$82</x:formula1>
    </x:dataValidation>
    <x:dataValidation type="list" sqref="J6:J35">
      <x:formula1>"A,B,C,D,E"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eb74f63439422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" hidden="0" customWidth="1"/>
    <x:col min="2" max="2" width="26" hidden="0" customWidth="1"/>
    <x:col min="3" max="3" width="42" hidden="0" customWidth="1"/>
    <x:col min="4" max="4" width="15" hidden="0" customWidth="1"/>
    <x:col min="5" max="5" width="60" hidden="0" customWidth="1"/>
    <x:col min="6" max="6" width="17" hidden="0" customWidth="1"/>
    <x:col min="7" max="7" width="28" hidden="0" customWidth="1"/>
    <x:col min="8" max="8" width="42" hidden="0" customWidth="1"/>
    <x:col min="9" max="9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3" t="str">
        <x:v>项目事实、待确认项与资料入口</x:v>
      </x:c>
      <x:c r="C2" s="2"/>
      <x:c r="D2" s="2"/>
      <x:c r="E2" s="2"/>
      <x:c r="F2" s="2"/>
      <x:c r="G2" s="2"/>
      <x:c r="H2" s="2"/>
      <x:c r="I2" s="2"/>
    </x:row>
    <x:row r="3">
      <x:c r="A3" s="2"/>
      <x:c r="B3" s="2" t="str">
        <x:v>当前确认值、模型值、代码值与未来项目确认值分别保存。黄色列补充依据，不覆盖原事实。</x:v>
      </x:c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2"/>
      <x:c r="B5" s="7" t="str">
        <x:v>参数或资料</x:v>
      </x:c>
      <x:c r="C5" s="7" t="str">
        <x:v>当前事实</x:v>
      </x:c>
      <x:c r="D5" s="7" t="str">
        <x:v>数值</x:v>
      </x:c>
      <x:c r="E5" s="7" t="str">
        <x:v>单位</x:v>
      </x:c>
      <x:c r="F5" s="7" t="str">
        <x:v>证据类型</x:v>
      </x:c>
      <x:c r="G5" s="7" t="str">
        <x:v>你确认的项目值</x:v>
      </x:c>
      <x:c r="H5" s="7" t="str">
        <x:v>依据或未知原因</x:v>
      </x:c>
      <x:c r="I5" s="7" t="str">
        <x:v>来源</x:v>
      </x:c>
    </x:row>
    <x:row r="6" ht="44" customHeight="1">
      <x:c r="A6" s="2"/>
      <x:c r="B6" s="10" t="str">
        <x:v>前级</x:v>
      </x:c>
      <x:c r="C6" s="10" t="str">
        <x:v>图腾柱无桥PFC</x:v>
      </x:c>
      <x:c r="D6" s="16"/>
      <x:c r="E6" s="10" t="str"/>
      <x:c r="F6" s="10" t="str">
        <x:v>用户确认</x:v>
      </x:c>
      <x:c r="G6" s="14" t="str"/>
      <x:c r="H6" s="14" t="str"/>
      <x:c r="I6" s="10" t="str">
        <x:v>R01；本次对话</x:v>
      </x:c>
    </x:row>
    <x:row r="7" ht="44" customHeight="1">
      <x:c r="A7" s="2"/>
      <x:c r="B7" s="8" t="str">
        <x:v>母线正常电压</x:v>
      </x:c>
      <x:c r="C7" s="8" t="str">
        <x:v>正常工作值</x:v>
      </x:c>
      <x:c r="D7" s="15" t="n">
        <x:v>400</x:v>
      </x:c>
      <x:c r="E7" s="8" t="str">
        <x:v>V</x:v>
      </x:c>
      <x:c r="F7" s="8" t="str">
        <x:v>用户确认</x:v>
      </x:c>
      <x:c r="G7" s="14"/>
      <x:c r="H7" s="14" t="str"/>
      <x:c r="I7" s="8" t="str">
        <x:v>R01；本次对话</x:v>
      </x:c>
    </x:row>
    <x:row r="8" ht="44" customHeight="1">
      <x:c r="A8" s="2"/>
      <x:c r="B8" s="10" t="str">
        <x:v>母线最低工作电压</x:v>
      </x:c>
      <x:c r="C8" s="10" t="str">
        <x:v>范围下限</x:v>
      </x:c>
      <x:c r="D8" s="16" t="n">
        <x:v>380</x:v>
      </x:c>
      <x:c r="E8" s="10" t="str">
        <x:v>V</x:v>
      </x:c>
      <x:c r="F8" s="10" t="str">
        <x:v>用户确认</x:v>
      </x:c>
      <x:c r="G8" s="14"/>
      <x:c r="H8" s="14" t="str"/>
      <x:c r="I8" s="10" t="str">
        <x:v>R01；本次对话</x:v>
      </x:c>
    </x:row>
    <x:row r="9" ht="44" customHeight="1">
      <x:c r="A9" s="2"/>
      <x:c r="B9" s="8" t="str">
        <x:v>母线最高工作电压</x:v>
      </x:c>
      <x:c r="C9" s="8" t="str">
        <x:v>范围上限</x:v>
      </x:c>
      <x:c r="D9" s="15" t="n">
        <x:v>420</x:v>
      </x:c>
      <x:c r="E9" s="8" t="str">
        <x:v>V</x:v>
      </x:c>
      <x:c r="F9" s="8" t="str">
        <x:v>用户确认</x:v>
      </x:c>
      <x:c r="G9" s="14"/>
      <x:c r="H9" s="14" t="str"/>
      <x:c r="I9" s="8" t="str">
        <x:v>R01；本次对话</x:v>
      </x:c>
    </x:row>
    <x:row r="10" ht="44" customHeight="1">
      <x:c r="A10" s="2"/>
      <x:c r="B10" s="10" t="str">
        <x:v>电池最低电压</x:v>
      </x:c>
      <x:c r="C10" s="10" t="str">
        <x:v>工作范围下限</x:v>
      </x:c>
      <x:c r="D10" s="16" t="n">
        <x:v>30</x:v>
      </x:c>
      <x:c r="E10" s="10" t="str">
        <x:v>V</x:v>
      </x:c>
      <x:c r="F10" s="10" t="str">
        <x:v>用户确认</x:v>
      </x:c>
      <x:c r="G10" s="14"/>
      <x:c r="H10" s="14" t="str"/>
      <x:c r="I10" s="10" t="str">
        <x:v>R01；本次对话</x:v>
      </x:c>
    </x:row>
    <x:row r="11" ht="44" customHeight="1">
      <x:c r="A11" s="2"/>
      <x:c r="B11" s="8" t="str">
        <x:v>电池最高电压</x:v>
      </x:c>
      <x:c r="C11" s="8" t="str">
        <x:v>范围上限；非统一CV目标</x:v>
      </x:c>
      <x:c r="D11" s="15" t="n">
        <x:v>60</x:v>
      </x:c>
      <x:c r="E11" s="8" t="str">
        <x:v>V</x:v>
      </x:c>
      <x:c r="F11" s="8" t="str">
        <x:v>用户确认</x:v>
      </x:c>
      <x:c r="G11" s="14"/>
      <x:c r="H11" s="14" t="str"/>
      <x:c r="I11" s="8" t="str">
        <x:v>R01；本次对话</x:v>
      </x:c>
    </x:row>
    <x:row r="12" ht="44" customHeight="1">
      <x:c r="A12" s="2"/>
      <x:c r="B12" s="10" t="str">
        <x:v>项目功率目标</x:v>
      </x:c>
      <x:c r="C12" s="10" t="str">
        <x:v>覆盖工况与连续/峰值待定</x:v>
      </x:c>
      <x:c r="D12" s="16" t="n">
        <x:v>1600</x:v>
      </x:c>
      <x:c r="E12" s="10" t="str">
        <x:v>W</x:v>
      </x:c>
      <x:c r="F12" s="10" t="str">
        <x:v>项目目标</x:v>
      </x:c>
      <x:c r="G12" s="14"/>
      <x:c r="H12" s="14" t="str"/>
      <x:c r="I12" s="10" t="str">
        <x:v>R01；本次对话</x:v>
      </x:c>
    </x:row>
    <x:row r="13" ht="44" customHeight="1">
      <x:c r="A13" s="2"/>
      <x:c r="B13" s="8" t="str">
        <x:v>最大连续电流</x:v>
      </x:c>
      <x:c r="C13" s="8" t="str">
        <x:v>待确认</x:v>
      </x:c>
      <x:c r="D13" s="15"/>
      <x:c r="E13" s="8" t="str">
        <x:v>A</x:v>
      </x:c>
      <x:c r="F13" s="8" t="str">
        <x:v>未知</x:v>
      </x:c>
      <x:c r="G13" s="14"/>
      <x:c r="H13" s="14" t="str"/>
      <x:c r="I13" s="8" t="str">
        <x:v>R01 §2</x:v>
      </x:c>
    </x:row>
    <x:row r="14" ht="44" customHeight="1">
      <x:c r="A14" s="2"/>
      <x:c r="B14" s="10" t="str">
        <x:v>电池CV与充电策略</x:v>
      </x:c>
      <x:c r="C14" s="10" t="str">
        <x:v>电池类型、串数、BMS目标待确认</x:v>
      </x:c>
      <x:c r="D14" s="16"/>
      <x:c r="E14" s="10" t="str">
        <x:v>V</x:v>
      </x:c>
      <x:c r="F14" s="10" t="str">
        <x:v>未知</x:v>
      </x:c>
      <x:c r="G14" s="14"/>
      <x:c r="H14" s="14" t="str"/>
      <x:c r="I14" s="10" t="str">
        <x:v>R01 §2</x:v>
      </x:c>
    </x:row>
    <x:row r="15" ht="44" customHeight="1">
      <x:c r="A15" s="2"/>
      <x:c r="B15" s="8" t="str">
        <x:v>整机AC范围</x:v>
      </x:c>
      <x:c r="C15" s="8" t="str">
        <x:v>不能从DC母线范围推出</x:v>
      </x:c>
      <x:c r="D15" s="15"/>
      <x:c r="E15" s="8" t="str">
        <x:v>V rms</x:v>
      </x:c>
      <x:c r="F15" s="8" t="str">
        <x:v>未知</x:v>
      </x:c>
      <x:c r="G15" s="14"/>
      <x:c r="H15" s="14" t="str"/>
      <x:c r="I15" s="8" t="str">
        <x:v>R01 §2</x:v>
      </x:c>
    </x:row>
    <x:row r="16" ht="44" customHeight="1">
      <x:c r="A16" s="2"/>
      <x:c r="B16" s="10" t="str">
        <x:v>当前原理图版本</x:v>
      </x:c>
      <x:c r="C16" s="10" t="str">
        <x:v>用户有完整原理图；匹配情况待填</x:v>
      </x:c>
      <x:c r="D16" s="16"/>
      <x:c r="E16" s="10" t="str"/>
      <x:c r="F16" s="10" t="str">
        <x:v>用户陈述</x:v>
      </x:c>
      <x:c r="G16" s="14" t="str"/>
      <x:c r="H16" s="14" t="str"/>
      <x:c r="I16" s="10" t="str">
        <x:v>S01-01</x:v>
      </x:c>
    </x:row>
    <x:row r="17" ht="44" customHeight="1">
      <x:c r="A17" s="2"/>
      <x:c r="B17" s="8" t="str">
        <x:v>当前代码/DLL版本</x:v>
      </x:c>
      <x:c r="C17" s="8" t="str">
        <x:v>已有真实代码与DLL；二进制匹配待填</x:v>
      </x:c>
      <x:c r="D17" s="15"/>
      <x:c r="E17" s="8" t="str"/>
      <x:c r="F17" s="8" t="str">
        <x:v>用户陈述</x:v>
      </x:c>
      <x:c r="G17" s="14" t="str"/>
      <x:c r="H17" s="14" t="str"/>
      <x:c r="I17" s="8" t="str">
        <x:v>S01-01</x:v>
      </x:c>
    </x:row>
    <x:row r="18" ht="44" customHeight="1">
      <x:c r="A18" s="2"/>
      <x:c r="B18" s="10" t="str">
        <x:v>开环模型能力</x:v>
      </x:c>
      <x:c r="C18" s="10" t="str">
        <x:v>能独立运行并查看波形</x:v>
      </x:c>
      <x:c r="D18" s="16"/>
      <x:c r="E18" s="10" t="str"/>
      <x:c r="F18" s="10" t="str">
        <x:v>用户确认</x:v>
      </x:c>
      <x:c r="G18" s="14" t="str"/>
      <x:c r="H18" s="14" t="str"/>
      <x:c r="I18" s="10" t="str">
        <x:v>2026-10-09用户回复</x:v>
      </x:c>
    </x:row>
    <x:row r="19" ht="44" customHeight="1">
      <x:c r="A19" s="2"/>
      <x:c r="B19" s="8" t="str">
        <x:v>当前开环文件与负载</x:v>
      </x:c>
      <x:c r="C19" s="8" t="str">
        <x:v>具体文件、负载及调制待记录</x:v>
      </x:c>
      <x:c r="D19" s="15"/>
      <x:c r="E19" s="8" t="str"/>
      <x:c r="F19" s="8" t="str">
        <x:v>未知</x:v>
      </x:c>
      <x:c r="G19" s="14" t="str"/>
      <x:c r="H19" s="14" t="str"/>
      <x:c r="I19" s="8" t="str">
        <x:v>S01-04</x:v>
      </x:c>
    </x:row>
    <x:row r="20" ht="44" customHeight="1">
      <x:c r="A20" s="2"/>
      <x:c r="B20" s="10" t="str">
        <x:v>Lr</x:v>
      </x:c>
      <x:c r="C20" s="10" t="str">
        <x:v>读取过的FullTest模型</x:v>
      </x:c>
      <x:c r="D20" s="16" t="n">
        <x:v>20</x:v>
      </x:c>
      <x:c r="E20" s="10" t="str">
        <x:v>μH</x:v>
      </x:c>
      <x:c r="F20" s="10" t="str">
        <x:v>模型值</x:v>
      </x:c>
      <x:c r="G20" s="14"/>
      <x:c r="H20" s="14" t="str"/>
      <x:c r="I20" s="10" t="str">
        <x:v>R01 §1.2；当前文件需核对</x:v>
      </x:c>
    </x:row>
    <x:row r="21" ht="44" customHeight="1">
      <x:c r="A21" s="2"/>
      <x:c r="B21" s="8" t="str">
        <x:v>Cr</x:v>
      </x:c>
      <x:c r="C21" s="8" t="str">
        <x:v>读取过的FullTest模型</x:v>
      </x:c>
      <x:c r="D21" s="15" t="n">
        <x:v>164</x:v>
      </x:c>
      <x:c r="E21" s="8" t="str">
        <x:v>nF</x:v>
      </x:c>
      <x:c r="F21" s="8" t="str">
        <x:v>模型值</x:v>
      </x:c>
      <x:c r="G21" s="14"/>
      <x:c r="H21" s="14" t="str"/>
      <x:c r="I21" s="8" t="str">
        <x:v>R01 §1.2；当前文件需核对</x:v>
      </x:c>
    </x:row>
    <x:row r="22" ht="44" customHeight="1">
      <x:c r="A22" s="2"/>
      <x:c r="B22" s="10" t="str">
        <x:v>Lm</x:v>
      </x:c>
      <x:c r="C22" s="10" t="str">
        <x:v>读取过的FullTest模型</x:v>
      </x:c>
      <x:c r="D22" s="16" t="n">
        <x:v>100</x:v>
      </x:c>
      <x:c r="E22" s="10" t="str">
        <x:v>μH</x:v>
      </x:c>
      <x:c r="F22" s="10" t="str">
        <x:v>模型值</x:v>
      </x:c>
      <x:c r="G22" s="14"/>
      <x:c r="H22" s="14" t="str"/>
      <x:c r="I22" s="10" t="str">
        <x:v>R01 §1.2；实物待核</x:v>
      </x:c>
    </x:row>
    <x:row r="23" ht="44" customHeight="1">
      <x:c r="A23" s="2"/>
      <x:c r="B23" s="8" t="str">
        <x:v>绕组参数</x:v>
      </x:c>
      <x:c r="C23" s="8" t="str">
        <x:v>读取过的FullTest：[18 4 4]</x:v>
      </x:c>
      <x:c r="D23" s="15"/>
      <x:c r="E23" s="8" t="str">
        <x:v>匝/模型参数</x:v>
      </x:c>
      <x:c r="F23" s="8" t="str">
        <x:v>模型值</x:v>
      </x:c>
      <x:c r="G23" s="14" t="str"/>
      <x:c r="H23" s="14" t="str"/>
      <x:c r="I23" s="8" t="str">
        <x:v>R01 §1.2；Ns定义待核</x:v>
      </x:c>
    </x:row>
    <x:row r="24" ht="44" customHeight="1">
      <x:c r="A24" s="2"/>
      <x:c r="B24" s="10" t="str">
        <x:v>输出Co</x:v>
      </x:c>
      <x:c r="C24" s="10" t="str">
        <x:v>读取过的FullTest模型</x:v>
      </x:c>
      <x:c r="D24" s="16" t="n">
        <x:v>100</x:v>
      </x:c>
      <x:c r="E24" s="10" t="str">
        <x:v>μF</x:v>
      </x:c>
      <x:c r="F24" s="10" t="str">
        <x:v>模型值</x:v>
      </x:c>
      <x:c r="G24" s="14"/>
      <x:c r="H24" s="14" t="str"/>
      <x:c r="I24" s="10" t="str">
        <x:v>R01 §1.2；当前文件需核对</x:v>
      </x:c>
    </x:row>
    <x:row r="25" ht="44" customHeight="1">
      <x:c r="A25" s="2"/>
      <x:c r="B25" s="8" t="str">
        <x:v>原边驱动与自举</x:v>
      </x:c>
      <x:c r="C25" s="8" t="str">
        <x:v>型号、Cboot、VDD、UVLO待确认</x:v>
      </x:c>
      <x:c r="D25" s="15"/>
      <x:c r="E25" s="8" t="str"/>
      <x:c r="F25" s="8" t="str">
        <x:v>未知</x:v>
      </x:c>
      <x:c r="G25" s="14" t="str"/>
      <x:c r="H25" s="14" t="str"/>
      <x:c r="I25" s="8" t="str">
        <x:v>R02 §3</x:v>
      </x:c>
    </x:row>
    <x:row r="26" ht="44" customHeight="1">
      <x:c r="A26" s="2"/>
      <x:c r="B26" s="10" t="str">
        <x:v>SR表依据与延迟</x:v>
      </x:c>
      <x:c r="C26" s="10" t="str">
        <x:v>代码含查表；采集/设计依据未知</x:v>
      </x:c>
      <x:c r="D26" s="16"/>
      <x:c r="E26" s="10" t="str"/>
      <x:c r="F26" s="10" t="str">
        <x:v>代码事实</x:v>
      </x:c>
      <x:c r="G26" s="14" t="str"/>
      <x:c r="H26" s="14" t="str"/>
      <x:c r="I26" s="10" t="str">
        <x:v>R12；R02</x:v>
      </x:c>
    </x:row>
    <x:row r="27" ht="44" customHeight="1">
      <x:c r="A27" s="2"/>
      <x:c r="B27" s="8" t="str">
        <x:v>保护与台架资源</x:v>
      </x:c>
      <x:c r="C27" s="8" t="str">
        <x:v>Fault配置不等于已实测；权限/设备待填</x:v>
      </x:c>
      <x:c r="D27" s="15"/>
      <x:c r="E27" s="8" t="str"/>
      <x:c r="F27" s="8" t="str">
        <x:v>待确认</x:v>
      </x:c>
      <x:c r="G27" s="14" t="str"/>
      <x:c r="H27" s="14" t="str"/>
      <x:c r="I27" s="8" t="str">
        <x:v>R10；S12-04～05</x:v>
      </x:c>
    </x:row>
    <x:row r="28" ht="44" customHeight="1">
      <x:c r="A28" s="2"/>
      <x:c r="B28" s="10" t="str">
        <x:v>PWM电流参考上限</x:v>
      </x:c>
      <x:c r="C28" s="10" t="str">
        <x:v>当前代码路径值；非产品最大能力</x:v>
      </x:c>
      <x:c r="D28" s="16" t="n">
        <x:v>10</x:v>
      </x:c>
      <x:c r="E28" s="10" t="str">
        <x:v>A</x:v>
      </x:c>
      <x:c r="F28" s="10" t="str">
        <x:v>代码值</x:v>
      </x:c>
      <x:c r="G28" s="14"/>
      <x:c r="H28" s="14" t="str"/>
      <x:c r="I28" s="10" t="str">
        <x:v>R07 RefRampPwmCurr</x:v>
      </x:c>
    </x:row>
    <x:row r="29" ht="44" customHeight="1">
      <x:c r="A29" s="2"/>
      <x:c r="B29" s="8" t="str">
        <x:v>PFM电流上限</x:v>
      </x:c>
      <x:c r="C29" s="8" t="str">
        <x:v>当前CON_CURR_OUT路径值</x:v>
      </x:c>
      <x:c r="D29" s="15" t="n">
        <x:v>16</x:v>
      </x:c>
      <x:c r="E29" s="8" t="str">
        <x:v>A</x:v>
      </x:c>
      <x:c r="F29" s="8" t="str">
        <x:v>代码值</x:v>
      </x:c>
      <x:c r="G29" s="14"/>
      <x:c r="H29" s="14" t="str"/>
      <x:c r="I29" s="8" t="str">
        <x:v>R01 §2；当前版本需核对</x:v>
      </x:c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 t="str">
        <x:v>使用方法：先填当前任务需要的参数；不知道就写未知及应找的资料，不等全部填满。</x:v>
      </x:c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 t="str">
        <x:v>计算书缺口：依次补参数来源、开环趋势、采样/调制延迟、局部补偿、SR窗口与启动条件。</x:v>
      </x:c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32" customHeight="1">
      <x:c r="A38" s="2"/>
      <x:c r="B38" s="7" t="str">
        <x:v>证据等级</x:v>
      </x:c>
      <x:c r="C38" s="7" t="str">
        <x:v>实际完成的验证</x:v>
      </x:c>
      <x:c r="D38" s="7" t="str">
        <x:v>不能代替</x:v>
      </x:c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45" customHeight="1">
      <x:c r="A40" s="2"/>
      <x:c r="B40" s="8" t="str">
        <x:v>A</x:v>
      </x:c>
      <x:c r="C40" s="8" t="str">
        <x:v>资料/代码/图追踪</x:v>
      </x:c>
      <x:c r="D40" s="8" t="str">
        <x:v>模型或实机通过</x:v>
      </x:c>
      <x:c r="E40" s="2"/>
      <x:c r="F40" s="2"/>
      <x:c r="G40" s="2"/>
      <x:c r="H40" s="2"/>
      <x:c r="I40" s="2"/>
    </x:row>
    <x:row r="41" ht="45" customHeight="1">
      <x:c r="A41" s="2"/>
      <x:c r="B41" s="8" t="str">
        <x:v>B</x:v>
      </x:c>
      <x:c r="C41" s="8" t="str">
        <x:v>手算/PC测试/明确模型</x:v>
      </x:c>
      <x:c r="D41" s="8" t="str">
        <x:v>MCU实际时序与功率行为</x:v>
      </x:c>
      <x:c r="E41" s="2"/>
      <x:c r="F41" s="2"/>
      <x:c r="G41" s="2"/>
      <x:c r="H41" s="2"/>
      <x:c r="I41" s="2"/>
    </x:row>
    <x:row r="42" ht="45" customHeight="1">
      <x:c r="A42" s="2"/>
      <x:c r="B42" s="8" t="str">
        <x:v>C</x:v>
      </x:c>
      <x:c r="C42" s="8" t="str">
        <x:v>功率级断开的MCU逻辑实测</x:v>
      </x:c>
      <x:c r="D42" s="8" t="str">
        <x:v>高压换流、ZVS和效率</x:v>
      </x:c>
      <x:c r="E42" s="2"/>
      <x:c r="F42" s="2"/>
      <x:c r="G42" s="2"/>
      <x:c r="H42" s="2"/>
      <x:c r="I42" s="2"/>
    </x:row>
    <x:row r="43" ht="45" customHeight="1">
      <x:c r="A43" s="2"/>
      <x:c r="B43" s="8" t="str">
        <x:v>D</x:v>
      </x:c>
      <x:c r="C43" s="8" t="str">
        <x:v>规定工况的实际功率台架</x:v>
      </x:c>
      <x:c r="D43" s="8" t="str">
        <x:v>未测工况与完整量产</x:v>
      </x:c>
      <x:c r="E43" s="2"/>
      <x:c r="F43" s="2"/>
      <x:c r="G43" s="2"/>
      <x:c r="H43" s="2"/>
      <x:c r="I43" s="2"/>
    </x:row>
    <x:row r="44" ht="45" customHeight="1">
      <x:c r="A44" s="2"/>
      <x:c r="B44" s="8" t="str">
        <x:v>E</x:v>
      </x:c>
      <x:c r="C44" s="8" t="str">
        <x:v>负责范围的真实交付/发布</x:v>
      </x:c>
      <x:c r="D44" s="8" t="str">
        <x:v>他人设计与全部整机职责</x:v>
      </x:c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32" customHeight="1">
      <x:c r="A47" s="2"/>
      <x:c r="B47" s="7" t="str">
        <x:v>资料ID</x:v>
      </x:c>
      <x:c r="C47" s="7" t="str">
        <x:v>名称</x:v>
      </x:c>
      <x:c r="D47" s="7" t="str">
        <x:v>使用范围</x:v>
      </x:c>
      <x:c r="E47" s="7" t="str">
        <x:v>已存在的本地位置</x:v>
      </x:c>
      <x:c r="F47" s="2"/>
      <x:c r="G47" s="2"/>
      <x:c r="H47" s="2"/>
      <x:c r="I47" s="2"/>
    </x:row>
    <x:row r="48" ht="60" customHeight="1">
      <x:c r="A48" s="2"/>
      <x:c r="B48" s="8" t="str">
        <x:v>R01</x:v>
      </x:c>
      <x:c r="C48" s="8" t="str">
        <x:v>系统规格与框架</x:v>
      </x:c>
      <x:c r="D48" s="8" t="str">
        <x:v>节点、范围、模型/代码值</x:v>
      </x:c>
      <x:c r="E48" s="8" t="str">
        <x:v>D:/Work/1600W/代码分析/01_System_Specification.md</x:v>
      </x:c>
      <x:c r="F48" s="2"/>
      <x:c r="G48" s="2"/>
      <x:c r="H48" s="2"/>
      <x:c r="I48" s="2"/>
    </x:row>
    <x:row r="49" ht="60" customHeight="1">
      <x:c r="A49" s="2"/>
      <x:c r="B49" s="8" t="str">
        <x:v>R02</x:v>
      </x:c>
      <x:c r="C49" s="8" t="str">
        <x:v>软启动分析</x:v>
      </x:c>
      <x:c r="D49" s="8" t="str">
        <x:v>自举、Cr、继电器、交接、失效</x:v>
      </x:c>
      <x:c r="E49" s="8" t="str">
        <x:v>D:/Work/1600W/代码分析/02_Half_Bridge_LLC_Soft_Start_Analysis.md</x:v>
      </x:c>
      <x:c r="F49" s="2"/>
      <x:c r="G49" s="2"/>
      <x:c r="H49" s="2"/>
      <x:c r="I49" s="2"/>
    </x:row>
    <x:row r="50" ht="60" customHeight="1">
      <x:c r="A50" s="2"/>
      <x:c r="B50" s="8" t="str">
        <x:v>R03</x:v>
      </x:c>
      <x:c r="C50" s="8" t="str">
        <x:v>项目学习工作流</x:v>
      </x:c>
      <x:c r="D50" s="8" t="str">
        <x:v>单问题、证据、AI提问与当前任务</x:v>
      </x:c>
      <x:c r="E50" s="8" t="str">
        <x:v>D:/Work/1600W/代码分析/03_LLC_SR_AI_项目学习工作流.md</x:v>
      </x:c>
      <x:c r="F50" s="2"/>
      <x:c r="G50" s="2"/>
      <x:c r="H50" s="2"/>
      <x:c r="I50" s="2"/>
    </x:row>
    <x:row r="51" ht="60" customHeight="1">
      <x:c r="A51" s="2"/>
      <x:c r="B51" s="8" t="str">
        <x:v>R04</x:v>
      </x:c>
      <x:c r="C51" s="8" t="str">
        <x:v>半桥LLC培训讲义</x:v>
      </x:c>
      <x:c r="D51" s="8" t="str">
        <x:v>基础原理与对应章节</x:v>
      </x:c>
      <x:c r="E51" s="8" t="str">
        <x:v>D:/study/power/buck/失效模型/半桥LLC_培训讲义.md</x:v>
      </x:c>
      <x:c r="F51" s="2"/>
      <x:c r="G51" s="2"/>
      <x:c r="H51" s="2"/>
      <x:c r="I51" s="2"/>
    </x:row>
    <x:row r="52" ht="60" customHeight="1">
      <x:c r="A52" s="2"/>
      <x:c r="B52" s="8" t="str">
        <x:v>R05</x:v>
      </x:c>
      <x:c r="C52" s="8" t="str">
        <x:v>学习与实验指导</x:v>
      </x:c>
      <x:c r="D52" s="8" t="str">
        <x:v>作业、证据分级、L4/L6条件</x:v>
      </x:c>
      <x:c r="E52" s="8" t="str">
        <x:v>D:/study/power/buck/失效模型/半桥LLC_学习与实验指导.md</x:v>
      </x:c>
      <x:c r="F52" s="2"/>
      <x:c r="G52" s="2"/>
      <x:c r="H52" s="2"/>
      <x:c r="I52" s="2"/>
    </x:row>
    <x:row r="53" ht="60" customHeight="1">
      <x:c r="A53" s="2"/>
      <x:c r="B53" s="8" t="str">
        <x:v>R06</x:v>
      </x:c>
      <x:c r="C53" s="8" t="str">
        <x:v>项目与知识体系</x:v>
      </x:c>
      <x:c r="D53" s="8" t="str">
        <x:v>P1/P2/P3及按需任务卡</x:v>
      </x:c>
      <x:c r="E53" s="8" t="str">
        <x:v>D:/study/power/buck/失效模型/电源控制软件工程师_项目与知识体系.md</x:v>
      </x:c>
      <x:c r="F53" s="2"/>
      <x:c r="G53" s="2"/>
      <x:c r="H53" s="2"/>
      <x:c r="I53" s="2"/>
    </x:row>
    <x:row r="54" ht="60" customHeight="1">
      <x:c r="A54" s="2"/>
      <x:c r="B54" s="8" t="str">
        <x:v>R07</x:v>
      </x:c>
      <x:c r="C54" s="8" t="str">
        <x:v>mathR02.c</x:v>
      </x:c>
      <x:c r="D54" s="8" t="str">
        <x:v>快环、PI、参考、启动与交接</x:v>
      </x:c>
      <x:c r="E54" s="8" t="str">
        <x:v>D:/Work/1600W/代码分析/R02_LLC_APP_V1.1.1_0824/AppUser/mathR02.c</x:v>
      </x:c>
      <x:c r="F54" s="2"/>
      <x:c r="G54" s="2"/>
      <x:c r="H54" s="2"/>
      <x:c r="I54" s="2"/>
    </x:row>
    <x:row r="55" ht="60" customHeight="1">
      <x:c r="A55" s="2"/>
      <x:c r="B55" s="8" t="str">
        <x:v>R08</x:v>
      </x:c>
      <x:c r="C55" s="8" t="str">
        <x:v>ConsoleSlow.c</x:v>
      </x:c>
      <x:c r="D55" s="8" t="str">
        <x:v>慢业务与SHRTIMERdrive</x:v>
      </x:c>
      <x:c r="E55" s="8" t="str">
        <x:v>D:/Work/1600W/代码分析/R02_LLC_APP_V1.1.1_0824/AppUser/ConsoleSlow.c</x:v>
      </x:c>
      <x:c r="F55" s="2"/>
      <x:c r="G55" s="2"/>
      <x:c r="H55" s="2"/>
      <x:c r="I55" s="2"/>
    </x:row>
    <x:row r="56" ht="60" customHeight="1">
      <x:c r="A56" s="2"/>
      <x:c r="B56" s="8" t="str">
        <x:v>R09</x:v>
      </x:c>
      <x:c r="C56" s="8" t="str">
        <x:v>快DLL包装main.c</x:v>
      </x:c>
      <x:c r="D56" s="8" t="str">
        <x:v>8入17出、物理量与调用</x:v>
      </x:c>
      <x:c r="E56" s="8" t="str">
        <x:v>D:/Work/1600W/代码分析/Visual studio projects/pi_controller/pi_controller/main.c</x:v>
      </x:c>
      <x:c r="F56" s="2"/>
      <x:c r="G56" s="2"/>
      <x:c r="H56" s="2"/>
      <x:c r="I56" s="2"/>
    </x:row>
    <x:row r="57" ht="60" customHeight="1">
      <x:c r="A57" s="2"/>
      <x:c r="B57" s="8" t="str">
        <x:v>R10</x:v>
      </x:c>
      <x:c r="C57" s="8" t="str">
        <x:v>MCU main.c</x:v>
      </x:c>
      <x:c r="D57" s="8" t="str">
        <x:v>HRTIM、Fault和初始使能</x:v>
      </x:c>
      <x:c r="E57" s="8" t="str">
        <x:v>D:/Work/1600W/代码分析/R02_LLC_APP_V1.1.1_0824/Core/Src/main.c</x:v>
      </x:c>
      <x:c r="F57" s="2"/>
      <x:c r="G57" s="2"/>
      <x:c r="H57" s="2"/>
      <x:c r="I57" s="2"/>
    </x:row>
    <x:row r="58" ht="60" customHeight="1">
      <x:c r="A58" s="2"/>
      <x:c r="B58" s="8" t="str">
        <x:v>R11</x:v>
      </x:c>
      <x:c r="C58" s="8" t="str">
        <x:v>ConsoleFast.c</x:v>
      </x:c>
      <x:c r="D58" s="8" t="str">
        <x:v>快调度、许可与软件保护</x:v>
      </x:c>
      <x:c r="E58" s="8" t="str">
        <x:v>D:/Work/1600W/代码分析/R02_LLC_APP_V1.1.1_0824/AppUser/ConsoleFast.c</x:v>
      </x:c>
      <x:c r="F58" s="2"/>
      <x:c r="G58" s="2"/>
      <x:c r="H58" s="2"/>
      <x:c r="I58" s="2"/>
    </x:row>
    <x:row r="59" ht="60" customHeight="1">
      <x:c r="A59" s="2"/>
      <x:c r="B59" s="8" t="str">
        <x:v>R12</x:v>
      </x:c>
      <x:c r="C59" s="8" t="str">
        <x:v>Sr_Handle.c</x:v>
      </x:c>
      <x:c r="D59" s="8" t="str">
        <x:v>SR表、系数与时序处理</x:v>
      </x:c>
      <x:c r="E59" s="8" t="str">
        <x:v>D:/Work/1600W/代码分析/R02_LLC_APP_V1.1.1_0824/AppUser/Sr_Handle.c</x:v>
      </x:c>
      <x:c r="F59" s="2"/>
      <x:c r="G59" s="2"/>
      <x:c r="H59" s="2"/>
      <x:c r="I59" s="2"/>
    </x:row>
    <x:row r="60" ht="60" customHeight="1">
      <x:c r="A60" s="2"/>
      <x:c r="B60" s="8" t="str">
        <x:v>R13</x:v>
      </x:c>
      <x:c r="C60" s="8" t="str">
        <x:v>各模式测试手册</x:v>
      </x:c>
      <x:c r="D60" s="8" t="str">
        <x:v>定位用例；旧结论需核对</x:v>
      </x:c>
      <x:c r="E60" s="8" t="str">
        <x:v>D:/Work/1600W/代码分析/LLC各模式PLECS测试手册.md</x:v>
      </x:c>
      <x:c r="F60" s="2"/>
      <x:c r="G60" s="2"/>
      <x:c r="H60" s="2"/>
      <x:c r="I60" s="2"/>
    </x:row>
    <x:row r="61" ht="60" customHeight="1">
      <x:c r="A61" s="2"/>
      <x:c r="B61" s="8" t="str">
        <x:v>R14</x:v>
      </x:c>
      <x:c r="C61" s="8" t="str">
        <x:v>唯一执行方案</x:v>
      </x:c>
      <x:c r="D61" s="8" t="str">
        <x:v>小闭环及资源边界；旧日程不重复执行</x:v>
      </x:c>
      <x:c r="E61" s="8" t="str">
        <x:v>D:/study/power/buck/失效模型/电源控制软件工程师_最终执行方案.md</x:v>
      </x:c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</x:sheetData>
  <x:pageMargins left="0.7" right="0.7" top="0.75" bottom="0.75" header="0.3" footer="0.3"/>
</x:worksheet>
</file>